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E:\Projects\PS_Report_Spreadsheet\"/>
    </mc:Choice>
  </mc:AlternateContent>
  <xr:revisionPtr revIDLastSave="0" documentId="13_ncr:1_{7B8A04E3-05FD-4213-8215-692D2608EA2D}" xr6:coauthVersionLast="47" xr6:coauthVersionMax="47" xr10:uidLastSave="{00000000-0000-0000-0000-000000000000}"/>
  <bookViews>
    <workbookView xWindow="-108" yWindow="-108" windowWidth="30936" windowHeight="16896" xr2:uid="{00000000-000D-0000-FFFF-FFFF00000000}"/>
  </bookViews>
  <sheets>
    <sheet name="Start Here" sheetId="3" r:id="rId1"/>
    <sheet name="Report Data" sheetId="1" r:id="rId2"/>
    <sheet name="Beautiful Charts" sheetId="2" r:id="rId3"/>
    <sheet name="ReportAsTable" sheetId="7" state="hidden" r:id="rId4"/>
    <sheet name="Doughnut Graph" sheetId="8" state="hidden" r:id="rId5"/>
    <sheet name="Stacked Bar Chart" sheetId="9" state="hidden" r:id="rId6"/>
  </sheets>
  <functionGroups builtInGroupCount="19"/>
  <definedNames>
    <definedName name="ExternalData_1" localSheetId="3" hidden="1">ReportAsTable!$A$1:$S$2</definedName>
    <definedName name="PivotRange">'Report Data'!#REF!</definedName>
    <definedName name="Platform">ReportAsTable!$K:$K</definedName>
    <definedName name="Slicer_Customer">#N/A</definedName>
    <definedName name="Slicer_Month">#N/A</definedName>
    <definedName name="Slicer_Priority">#N/A</definedName>
    <definedName name="Slicer_Quarter">#N/A</definedName>
    <definedName name="Slicer_State">#N/A</definedName>
    <definedName name="Slicer_Tag_1">#N/A</definedName>
    <definedName name="Slicer_Tag_2">#N/A</definedName>
  </definedNames>
  <calcPr calcId="191029"/>
  <pivotCaches>
    <pivotCache cacheId="30"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8" i="8" l="1"/>
  <c r="A27" i="8"/>
  <c r="A2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2C2379-4343-4886-A8F5-6351F003EE1B}" keepAlive="1" name="Query - ReportData" description="Connection to the 'ReportData' query in the workbook." type="5" refreshedVersion="8" background="1" saveData="1">
    <dbPr connection="Provider=Microsoft.Mashup.OleDb.1;Data Source=$Workbook$;Location=ReportData;Extended Properties=&quot;&quot;" command="SELECT * FROM [ReportData]"/>
  </connection>
</connections>
</file>

<file path=xl/sharedStrings.xml><?xml version="1.0" encoding="utf-8"?>
<sst xmlns="http://schemas.openxmlformats.org/spreadsheetml/2006/main" count="71" uniqueCount="51">
  <si>
    <t>#</t>
  </si>
  <si>
    <t>Title</t>
  </si>
  <si>
    <t>State</t>
  </si>
  <si>
    <t>Priority</t>
  </si>
  <si>
    <t>Group</t>
  </si>
  <si>
    <t>Owner</t>
  </si>
  <si>
    <t>Customer</t>
  </si>
  <si>
    <t>Organization</t>
  </si>
  <si>
    <t>Create Channel</t>
  </si>
  <si>
    <t>Sender</t>
  </si>
  <si>
    <t>Time Units</t>
  </si>
  <si>
    <t>Pending till</t>
  </si>
  <si>
    <t>Created At</t>
  </si>
  <si>
    <t>Updated At</t>
  </si>
  <si>
    <t>Closed At</t>
  </si>
  <si>
    <t>Tag 1</t>
  </si>
  <si>
    <t>Tag 2</t>
  </si>
  <si>
    <t>Month</t>
  </si>
  <si>
    <t>Quarter</t>
  </si>
  <si>
    <t>Row Labels</t>
  </si>
  <si>
    <t>Grand Total</t>
  </si>
  <si>
    <t>Count of #</t>
  </si>
  <si>
    <t>February</t>
  </si>
  <si>
    <t>January</t>
  </si>
  <si>
    <t>May</t>
  </si>
  <si>
    <t>July</t>
  </si>
  <si>
    <t>November</t>
  </si>
  <si>
    <t>June</t>
  </si>
  <si>
    <t>April</t>
  </si>
  <si>
    <t>September</t>
  </si>
  <si>
    <t>December</t>
  </si>
  <si>
    <t>August</t>
  </si>
  <si>
    <t>October</t>
  </si>
  <si>
    <t>March</t>
  </si>
  <si>
    <t>Column Labels</t>
  </si>
  <si>
    <t>Stuck in Waiting on Payment status</t>
  </si>
  <si>
    <t>Number port issues</t>
  </si>
  <si>
    <t>Automated Email issues</t>
  </si>
  <si>
    <t>waiting on payment</t>
  </si>
  <si>
    <t>Invoice issues</t>
  </si>
  <si>
    <t>Issues loading text/call logs/voicemails</t>
  </si>
  <si>
    <t>App availability issues</t>
  </si>
  <si>
    <t>Time Stamp issues</t>
  </si>
  <si>
    <t>In app/portal features not working</t>
  </si>
  <si>
    <t>App freezing</t>
  </si>
  <si>
    <t>VO and PS not linked correctly</t>
  </si>
  <si>
    <t>Voicemail Issues</t>
  </si>
  <si>
    <t>phone service</t>
  </si>
  <si>
    <t>Multiline issues</t>
  </si>
  <si>
    <t>Remove phone number from # pool</t>
  </si>
  <si>
    <t>Making/Accepting calls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</si>
</sst>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gradientFill degree="90">
        <stop position="0">
          <color theme="0"/>
        </stop>
        <stop position="1">
          <color theme="4" tint="0.59999389629810485"/>
        </stop>
      </gradient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4" fontId="0" fillId="0" borderId="0" xfId="0" applyNumberFormat="1"/>
    <xf numFmtId="0" fontId="0" fillId="0" borderId="0" xfId="0" pivotButton="1"/>
    <xf numFmtId="0" fontId="0" fillId="0" borderId="0" xfId="0" applyAlignment="1">
      <alignment horizontal="left"/>
    </xf>
    <xf numFmtId="1" fontId="0" fillId="0" borderId="0" xfId="0" applyNumberFormat="1"/>
    <xf numFmtId="0" fontId="0" fillId="33" borderId="0" xfId="0" applyFill="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 formatCode="0"/>
    </dxf>
    <dxf>
      <fill>
        <patternFill>
          <bgColor theme="6" tint="0.59996337778862885"/>
        </patternFill>
      </fill>
      <border diagonalUp="0" diagonalDown="0">
        <left/>
        <right/>
        <top/>
        <bottom/>
        <vertical/>
        <horizontal/>
      </border>
    </dxf>
  </dxfs>
  <tableStyles count="1" defaultTableStyle="TableStyleMedium2" defaultPivotStyle="PivotStyleLight16">
    <tableStyle name="Slicer Style 1" pivot="0" table="0" count="1" xr9:uid="{FF033E1A-467D-4AA4-B160-F62E2F347BA1}">
      <tableStyleElement type="headerRow" dxfId="17"/>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3.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Reports.xlsm]Doughnut Graph!PivotTable5</c:name>
    <c:fmtId val="10"/>
  </c:pivotSource>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US" sz="1600" b="1" i="0" baseline="0">
                <a:solidFill>
                  <a:schemeClr val="tx1"/>
                </a:solidFill>
              </a:rPr>
              <a:t>Total Tickets by Issue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5">
              <a:lumMod val="75000"/>
            </a:schemeClr>
          </a:solidFill>
          <a:ln w="19050">
            <a:noFill/>
          </a:ln>
          <a:effectLst/>
        </c:spPr>
      </c:pivotFmt>
      <c:pivotFmt>
        <c:idx val="9"/>
        <c:spPr>
          <a:solidFill>
            <a:schemeClr val="accent1"/>
          </a:solidFill>
          <a:ln w="19050">
            <a:noFill/>
          </a:ln>
          <a:effectLst/>
        </c:spPr>
      </c:pivotFmt>
      <c:pivotFmt>
        <c:idx val="10"/>
        <c:spPr>
          <a:solidFill>
            <a:schemeClr val="accent6">
              <a:lumMod val="60000"/>
              <a:lumOff val="40000"/>
            </a:schemeClr>
          </a:solidFill>
          <a:ln w="19050">
            <a:noFill/>
          </a:ln>
          <a:effectLst/>
        </c:spPr>
      </c:pivotFmt>
      <c:pivotFmt>
        <c:idx val="11"/>
        <c:spPr>
          <a:solidFill>
            <a:schemeClr val="accent1"/>
          </a:solidFill>
          <a:ln w="19050">
            <a:noFill/>
          </a:ln>
          <a:effectLst/>
        </c:spPr>
      </c:pivotFmt>
      <c:pivotFmt>
        <c:idx val="12"/>
        <c:spPr>
          <a:solidFill>
            <a:srgbClr val="00B050"/>
          </a:solidFill>
          <a:ln w="19050">
            <a:noFill/>
          </a:ln>
          <a:effectLst/>
        </c:spPr>
      </c:pivotFmt>
      <c:pivotFmt>
        <c:idx val="13"/>
        <c:spPr>
          <a:solidFill>
            <a:schemeClr val="accent1"/>
          </a:solidFill>
          <a:ln w="19050">
            <a:noFill/>
          </a:ln>
          <a:effectLst/>
        </c:spPr>
      </c:pivotFmt>
      <c:pivotFmt>
        <c:idx val="14"/>
        <c:spPr>
          <a:solidFill>
            <a:schemeClr val="accent6">
              <a:lumMod val="75000"/>
            </a:schemeClr>
          </a:solidFill>
          <a:ln w="19050">
            <a:noFill/>
          </a:ln>
          <a:effectLst/>
        </c:spPr>
      </c:pivotFmt>
      <c:pivotFmt>
        <c:idx val="15"/>
        <c:spPr>
          <a:solidFill>
            <a:schemeClr val="accent5">
              <a:lumMod val="60000"/>
              <a:lumOff val="40000"/>
            </a:schemeClr>
          </a:solidFill>
          <a:ln w="19050">
            <a:noFill/>
          </a:ln>
          <a:effectLst/>
        </c:spPr>
      </c:pivotFmt>
      <c:pivotFmt>
        <c:idx val="16"/>
        <c:spPr>
          <a:solidFill>
            <a:schemeClr val="accent2">
              <a:lumMod val="60000"/>
              <a:lumOff val="40000"/>
            </a:schemeClr>
          </a:solidFill>
          <a:ln w="19050">
            <a:noFill/>
          </a:ln>
          <a:effectLst/>
        </c:spPr>
      </c:pivotFmt>
      <c:pivotFmt>
        <c:idx val="17"/>
        <c:spPr>
          <a:solidFill>
            <a:schemeClr val="accent4">
              <a:lumMod val="75000"/>
            </a:schemeClr>
          </a:solidFill>
          <a:ln w="19050">
            <a:noFill/>
          </a:ln>
          <a:effectLst/>
        </c:spPr>
      </c:pivotFmt>
      <c:pivotFmt>
        <c:idx val="18"/>
        <c:spPr>
          <a:solidFill>
            <a:schemeClr val="accent6">
              <a:lumMod val="40000"/>
              <a:lumOff val="60000"/>
            </a:schemeClr>
          </a:solidFill>
          <a:ln w="19050">
            <a:noFill/>
          </a:ln>
          <a:effectLst/>
        </c:spPr>
      </c:pivotFmt>
      <c:pivotFmt>
        <c:idx val="19"/>
        <c:spPr>
          <a:solidFill>
            <a:schemeClr val="accent1">
              <a:lumMod val="75000"/>
            </a:schemeClr>
          </a:solidFill>
          <a:ln w="19050">
            <a:noFill/>
          </a:ln>
          <a:effectLst/>
        </c:spPr>
      </c:pivotFmt>
      <c:pivotFmt>
        <c:idx val="20"/>
        <c:spPr>
          <a:solidFill>
            <a:srgbClr val="FF0000"/>
          </a:solidFill>
          <a:ln w="19050">
            <a:noFill/>
          </a:ln>
          <a:effectLst/>
        </c:spPr>
      </c:pivotFmt>
      <c:pivotFmt>
        <c:idx val="21"/>
        <c:spPr>
          <a:solidFill>
            <a:srgbClr val="92D050"/>
          </a:solidFill>
          <a:ln w="19050">
            <a:noFill/>
          </a:ln>
          <a:effectLst/>
        </c:spPr>
      </c:pivotFmt>
      <c:pivotFmt>
        <c:idx val="22"/>
        <c:spPr>
          <a:solidFill>
            <a:schemeClr val="accent4"/>
          </a:solidFill>
          <a:ln w="19050">
            <a:noFill/>
          </a:ln>
          <a:effectLst/>
        </c:spPr>
      </c:pivotFmt>
      <c:pivotFmt>
        <c:idx val="23"/>
        <c:spPr>
          <a:solidFill>
            <a:schemeClr val="bg1">
              <a:lumMod val="50000"/>
            </a:schemeClr>
          </a:solidFill>
          <a:ln w="19050">
            <a:noFill/>
          </a:ln>
          <a:effectLst/>
        </c:spPr>
      </c:pivotFmt>
      <c:pivotFmt>
        <c:idx val="24"/>
        <c:spPr>
          <a:solidFill>
            <a:srgbClr val="00B0F0"/>
          </a:solidFill>
          <a:ln w="19050">
            <a:noFill/>
          </a:ln>
          <a:effectLst/>
        </c:spPr>
      </c:pivotFmt>
      <c:pivotFmt>
        <c:idx val="25"/>
        <c:spPr>
          <a:solidFill>
            <a:srgbClr val="7030A0"/>
          </a:solidFill>
          <a:ln w="19050">
            <a:noFill/>
          </a:ln>
          <a:effectLst/>
        </c:spPr>
      </c:pivotFmt>
      <c:pivotFmt>
        <c:idx val="26"/>
        <c:spPr>
          <a:solidFill>
            <a:schemeClr val="accent2">
              <a:lumMod val="75000"/>
            </a:schemeClr>
          </a:solidFill>
          <a:ln w="19050">
            <a:noFill/>
          </a:ln>
          <a:effectLst/>
        </c:spPr>
      </c:pivotFmt>
      <c:pivotFmt>
        <c:idx val="27"/>
        <c:spPr>
          <a:solidFill>
            <a:srgbClr val="C00000"/>
          </a:solidFill>
          <a:ln w="19050">
            <a:noFill/>
          </a:ln>
          <a:effectLst/>
        </c:spPr>
      </c:pivotFmt>
    </c:pivotFmts>
    <c:plotArea>
      <c:layout/>
      <c:doughnutChart>
        <c:varyColors val="1"/>
        <c:ser>
          <c:idx val="0"/>
          <c:order val="0"/>
          <c:tx>
            <c:strRef>
              <c:f>'Doughnut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6BDD-4262-B5A0-07E845F0A7EB}"/>
              </c:ext>
            </c:extLst>
          </c:dPt>
          <c:dPt>
            <c:idx val="1"/>
            <c:bubble3D val="0"/>
            <c:spPr>
              <a:solidFill>
                <a:schemeClr val="accent6">
                  <a:lumMod val="75000"/>
                </a:schemeClr>
              </a:solidFill>
              <a:ln w="19050">
                <a:noFill/>
              </a:ln>
              <a:effectLst/>
            </c:spPr>
            <c:extLst>
              <c:ext xmlns:c16="http://schemas.microsoft.com/office/drawing/2014/chart" uri="{C3380CC4-5D6E-409C-BE32-E72D297353CC}">
                <c16:uniqueId val="{00000003-6BDD-4262-B5A0-07E845F0A7EB}"/>
              </c:ext>
            </c:extLst>
          </c:dPt>
          <c:dPt>
            <c:idx val="2"/>
            <c:bubble3D val="0"/>
            <c:spPr>
              <a:solidFill>
                <a:schemeClr val="accent5">
                  <a:lumMod val="60000"/>
                  <a:lumOff val="40000"/>
                </a:schemeClr>
              </a:solidFill>
              <a:ln w="19050">
                <a:noFill/>
              </a:ln>
              <a:effectLst/>
            </c:spPr>
            <c:extLst>
              <c:ext xmlns:c16="http://schemas.microsoft.com/office/drawing/2014/chart" uri="{C3380CC4-5D6E-409C-BE32-E72D297353CC}">
                <c16:uniqueId val="{00000005-6BDD-4262-B5A0-07E845F0A7EB}"/>
              </c:ext>
            </c:extLst>
          </c:dPt>
          <c:dPt>
            <c:idx val="3"/>
            <c:bubble3D val="0"/>
            <c:spPr>
              <a:solidFill>
                <a:schemeClr val="accent2">
                  <a:lumMod val="60000"/>
                  <a:lumOff val="40000"/>
                </a:schemeClr>
              </a:solidFill>
              <a:ln w="19050">
                <a:noFill/>
              </a:ln>
              <a:effectLst/>
            </c:spPr>
            <c:extLst>
              <c:ext xmlns:c16="http://schemas.microsoft.com/office/drawing/2014/chart" uri="{C3380CC4-5D6E-409C-BE32-E72D297353CC}">
                <c16:uniqueId val="{00000007-6BDD-4262-B5A0-07E845F0A7EB}"/>
              </c:ext>
            </c:extLst>
          </c:dPt>
          <c:dPt>
            <c:idx val="4"/>
            <c:bubble3D val="0"/>
            <c:spPr>
              <a:solidFill>
                <a:schemeClr val="accent4">
                  <a:lumMod val="75000"/>
                </a:schemeClr>
              </a:solidFill>
              <a:ln w="19050">
                <a:noFill/>
              </a:ln>
              <a:effectLst/>
            </c:spPr>
            <c:extLst>
              <c:ext xmlns:c16="http://schemas.microsoft.com/office/drawing/2014/chart" uri="{C3380CC4-5D6E-409C-BE32-E72D297353CC}">
                <c16:uniqueId val="{00000009-6BDD-4262-B5A0-07E845F0A7EB}"/>
              </c:ext>
            </c:extLst>
          </c:dPt>
          <c:dPt>
            <c:idx val="5"/>
            <c:bubble3D val="0"/>
            <c:spPr>
              <a:solidFill>
                <a:schemeClr val="accent6">
                  <a:lumMod val="40000"/>
                  <a:lumOff val="60000"/>
                </a:schemeClr>
              </a:solidFill>
              <a:ln w="19050">
                <a:noFill/>
              </a:ln>
              <a:effectLst/>
            </c:spPr>
            <c:extLst>
              <c:ext xmlns:c16="http://schemas.microsoft.com/office/drawing/2014/chart" uri="{C3380CC4-5D6E-409C-BE32-E72D297353CC}">
                <c16:uniqueId val="{0000000A-E306-40E7-A1E4-F0BA4DF79D48}"/>
              </c:ext>
            </c:extLst>
          </c:dPt>
          <c:dPt>
            <c:idx val="6"/>
            <c:bubble3D val="0"/>
            <c:spPr>
              <a:solidFill>
                <a:schemeClr val="accent1">
                  <a:lumMod val="75000"/>
                </a:schemeClr>
              </a:solidFill>
              <a:ln w="19050">
                <a:noFill/>
              </a:ln>
              <a:effectLst/>
            </c:spPr>
            <c:extLst>
              <c:ext xmlns:c16="http://schemas.microsoft.com/office/drawing/2014/chart" uri="{C3380CC4-5D6E-409C-BE32-E72D297353CC}">
                <c16:uniqueId val="{0000000B-E306-40E7-A1E4-F0BA4DF79D48}"/>
              </c:ext>
            </c:extLst>
          </c:dPt>
          <c:dPt>
            <c:idx val="7"/>
            <c:bubble3D val="0"/>
            <c:spPr>
              <a:solidFill>
                <a:srgbClr val="FF0000"/>
              </a:solidFill>
              <a:ln w="19050">
                <a:noFill/>
              </a:ln>
              <a:effectLst/>
            </c:spPr>
            <c:extLst>
              <c:ext xmlns:c16="http://schemas.microsoft.com/office/drawing/2014/chart" uri="{C3380CC4-5D6E-409C-BE32-E72D297353CC}">
                <c16:uniqueId val="{0000000C-E306-40E7-A1E4-F0BA4DF79D48}"/>
              </c:ext>
            </c:extLst>
          </c:dPt>
          <c:dPt>
            <c:idx val="8"/>
            <c:bubble3D val="0"/>
            <c:spPr>
              <a:solidFill>
                <a:srgbClr val="92D050"/>
              </a:solidFill>
              <a:ln w="19050">
                <a:noFill/>
              </a:ln>
              <a:effectLst/>
            </c:spPr>
            <c:extLst>
              <c:ext xmlns:c16="http://schemas.microsoft.com/office/drawing/2014/chart" uri="{C3380CC4-5D6E-409C-BE32-E72D297353CC}">
                <c16:uniqueId val="{0000000D-E306-40E7-A1E4-F0BA4DF79D48}"/>
              </c:ext>
            </c:extLst>
          </c:dPt>
          <c:dPt>
            <c:idx val="9"/>
            <c:bubble3D val="0"/>
            <c:spPr>
              <a:solidFill>
                <a:schemeClr val="accent4"/>
              </a:solidFill>
              <a:ln w="19050">
                <a:noFill/>
              </a:ln>
              <a:effectLst/>
            </c:spPr>
            <c:extLst>
              <c:ext xmlns:c16="http://schemas.microsoft.com/office/drawing/2014/chart" uri="{C3380CC4-5D6E-409C-BE32-E72D297353CC}">
                <c16:uniqueId val="{0000000E-E306-40E7-A1E4-F0BA4DF79D48}"/>
              </c:ext>
            </c:extLst>
          </c:dPt>
          <c:dPt>
            <c:idx val="10"/>
            <c:bubble3D val="0"/>
            <c:spPr>
              <a:solidFill>
                <a:schemeClr val="bg1">
                  <a:lumMod val="50000"/>
                </a:schemeClr>
              </a:solidFill>
              <a:ln w="19050">
                <a:noFill/>
              </a:ln>
              <a:effectLst/>
            </c:spPr>
            <c:extLst>
              <c:ext xmlns:c16="http://schemas.microsoft.com/office/drawing/2014/chart" uri="{C3380CC4-5D6E-409C-BE32-E72D297353CC}">
                <c16:uniqueId val="{0000000F-E306-40E7-A1E4-F0BA4DF79D48}"/>
              </c:ext>
            </c:extLst>
          </c:dPt>
          <c:dPt>
            <c:idx val="11"/>
            <c:bubble3D val="0"/>
            <c:spPr>
              <a:solidFill>
                <a:srgbClr val="00B0F0"/>
              </a:solidFill>
              <a:ln w="19050">
                <a:noFill/>
              </a:ln>
              <a:effectLst/>
            </c:spPr>
            <c:extLst>
              <c:ext xmlns:c16="http://schemas.microsoft.com/office/drawing/2014/chart" uri="{C3380CC4-5D6E-409C-BE32-E72D297353CC}">
                <c16:uniqueId val="{00000010-E306-40E7-A1E4-F0BA4DF79D48}"/>
              </c:ext>
            </c:extLst>
          </c:dPt>
          <c:dPt>
            <c:idx val="12"/>
            <c:bubble3D val="0"/>
            <c:spPr>
              <a:solidFill>
                <a:srgbClr val="7030A0"/>
              </a:solidFill>
              <a:ln w="19050">
                <a:noFill/>
              </a:ln>
              <a:effectLst/>
            </c:spPr>
            <c:extLst>
              <c:ext xmlns:c16="http://schemas.microsoft.com/office/drawing/2014/chart" uri="{C3380CC4-5D6E-409C-BE32-E72D297353CC}">
                <c16:uniqueId val="{00000011-E306-40E7-A1E4-F0BA4DF79D48}"/>
              </c:ext>
            </c:extLst>
          </c:dPt>
          <c:dPt>
            <c:idx val="13"/>
            <c:bubble3D val="0"/>
            <c:spPr>
              <a:solidFill>
                <a:srgbClr val="00B050"/>
              </a:solidFill>
              <a:ln w="19050">
                <a:noFill/>
              </a:ln>
              <a:effectLst/>
            </c:spPr>
            <c:extLst>
              <c:ext xmlns:c16="http://schemas.microsoft.com/office/drawing/2014/chart" uri="{C3380CC4-5D6E-409C-BE32-E72D297353CC}">
                <c16:uniqueId val="{0000001B-1482-4B98-BE44-273387A92DE6}"/>
              </c:ext>
            </c:extLst>
          </c:dPt>
          <c:dPt>
            <c:idx val="14"/>
            <c:bubble3D val="0"/>
            <c:spPr>
              <a:solidFill>
                <a:schemeClr val="accent2">
                  <a:lumMod val="75000"/>
                </a:schemeClr>
              </a:solidFill>
              <a:ln w="19050">
                <a:noFill/>
              </a:ln>
              <a:effectLst/>
            </c:spPr>
            <c:extLst>
              <c:ext xmlns:c16="http://schemas.microsoft.com/office/drawing/2014/chart" uri="{C3380CC4-5D6E-409C-BE32-E72D297353CC}">
                <c16:uniqueId val="{00000012-E306-40E7-A1E4-F0BA4DF79D48}"/>
              </c:ext>
            </c:extLst>
          </c:dPt>
          <c:dPt>
            <c:idx val="15"/>
            <c:bubble3D val="0"/>
            <c:spPr>
              <a:solidFill>
                <a:srgbClr val="C00000"/>
              </a:solidFill>
              <a:ln w="19050">
                <a:noFill/>
              </a:ln>
              <a:effectLst/>
            </c:spPr>
            <c:extLst>
              <c:ext xmlns:c16="http://schemas.microsoft.com/office/drawing/2014/chart" uri="{C3380CC4-5D6E-409C-BE32-E72D297353CC}">
                <c16:uniqueId val="{00000013-E306-40E7-A1E4-F0BA4DF79D48}"/>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'Doughnut Graph'!$A$2:$A$18</c:f>
              <c:strCache>
                <c:ptCount val="16"/>
                <c:pt idx="0">
                  <c:v>Multiline issues</c:v>
                </c:pt>
                <c:pt idx="1">
                  <c:v>Invoice issues</c:v>
                </c:pt>
                <c:pt idx="2">
                  <c:v>App freezing</c:v>
                </c:pt>
                <c:pt idx="3">
                  <c:v>App availability issues</c:v>
                </c:pt>
                <c:pt idx="4">
                  <c:v>Remove phone number from # pool</c:v>
                </c:pt>
                <c:pt idx="5">
                  <c:v>Number port issues</c:v>
                </c:pt>
                <c:pt idx="6">
                  <c:v>phone service</c:v>
                </c:pt>
                <c:pt idx="7">
                  <c:v>VO and PS not linked correctly</c:v>
                </c:pt>
                <c:pt idx="8">
                  <c:v>In app/portal features not working</c:v>
                </c:pt>
                <c:pt idx="9">
                  <c:v>Time Stamp issues</c:v>
                </c:pt>
                <c:pt idx="10">
                  <c:v>Automated Email issues</c:v>
                </c:pt>
                <c:pt idx="11">
                  <c:v>Voicemail Issues</c:v>
                </c:pt>
                <c:pt idx="12">
                  <c:v>Making/Accepting calls</c:v>
                </c:pt>
                <c:pt idx="13">
                  <c:v>waiting on payment</c:v>
                </c:pt>
                <c:pt idx="14">
                  <c:v>Stuck in Waiting on Payment status</c:v>
                </c:pt>
                <c:pt idx="15">
                  <c:v>Issues loading text/call logs/voicemails</c:v>
                </c:pt>
              </c:strCache>
            </c:strRef>
          </c:cat>
          <c:val>
            <c:numRef>
              <c:f>'Doughnut Graph'!$B$2:$B$18</c:f>
              <c:numCache>
                <c:formatCode>General</c:formatCode>
                <c:ptCount val="16"/>
                <c:pt idx="0">
                  <c:v>85</c:v>
                </c:pt>
                <c:pt idx="1">
                  <c:v>76</c:v>
                </c:pt>
                <c:pt idx="2">
                  <c:v>71</c:v>
                </c:pt>
                <c:pt idx="3">
                  <c:v>69</c:v>
                </c:pt>
                <c:pt idx="4">
                  <c:v>68</c:v>
                </c:pt>
                <c:pt idx="5">
                  <c:v>66</c:v>
                </c:pt>
                <c:pt idx="6">
                  <c:v>63</c:v>
                </c:pt>
                <c:pt idx="7">
                  <c:v>62</c:v>
                </c:pt>
                <c:pt idx="8">
                  <c:v>61</c:v>
                </c:pt>
                <c:pt idx="9">
                  <c:v>57</c:v>
                </c:pt>
                <c:pt idx="10">
                  <c:v>56</c:v>
                </c:pt>
                <c:pt idx="11">
                  <c:v>55</c:v>
                </c:pt>
                <c:pt idx="12">
                  <c:v>54</c:v>
                </c:pt>
                <c:pt idx="13">
                  <c:v>54</c:v>
                </c:pt>
                <c:pt idx="14">
                  <c:v>52</c:v>
                </c:pt>
                <c:pt idx="15">
                  <c:v>51</c:v>
                </c:pt>
              </c:numCache>
            </c:numRef>
          </c:val>
          <c:extLst>
            <c:ext xmlns:c16="http://schemas.microsoft.com/office/drawing/2014/chart" uri="{C3380CC4-5D6E-409C-BE32-E72D297353CC}">
              <c16:uniqueId val="{0000000A-6BDD-4262-B5A0-07E845F0A7EB}"/>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legendEntry>
        <c:idx val="0"/>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1"/>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2"/>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ayout>
        <c:manualLayout>
          <c:xMode val="edge"/>
          <c:yMode val="edge"/>
          <c:x val="0.58125845938015586"/>
          <c:y val="0.18917507871169031"/>
          <c:w val="0.40708644951376066"/>
          <c:h val="0.768179126741478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60000"/>
      </a:schemeClr>
    </a:solidFill>
    <a:ln w="9525" cap="flat" cmpd="sng" algn="ctr">
      <a:noFill/>
      <a:round/>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Reports.xlsm]Stacked Bar Chart!PivotTable6</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4"/>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B050"/>
          </a:solidFill>
          <a:ln w="25400">
            <a:noFill/>
          </a:ln>
          <a:effectLst/>
        </c:spPr>
        <c:marker>
          <c:symbol val="none"/>
        </c:marker>
        <c:dLbl>
          <c:idx val="0"/>
          <c:delete val="1"/>
          <c:extLst>
            <c:ext xmlns:c15="http://schemas.microsoft.com/office/drawing/2012/chart" uri="{CE6537A1-D6FC-4f65-9D91-7224C49458BB}"/>
          </c:extLst>
        </c:dLbl>
      </c:pivotFmt>
      <c:pivotFmt>
        <c:idx val="21"/>
        <c:spPr>
          <a:solidFill>
            <a:srgbClr val="00B0F0"/>
          </a:solidFill>
          <a:ln w="25400">
            <a:noFill/>
          </a:ln>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bg1">
              <a:lumMod val="50000"/>
            </a:schemeClr>
          </a:solidFill>
        </c:spPr>
        <c:marker>
          <c:symbol val="none"/>
        </c:marker>
        <c:dLbl>
          <c:idx val="0"/>
          <c:delete val="1"/>
          <c:extLst>
            <c:ext xmlns:c15="http://schemas.microsoft.com/office/drawing/2012/chart" uri="{CE6537A1-D6FC-4f65-9D91-7224C49458BB}"/>
          </c:extLst>
        </c:dLbl>
      </c:pivotFmt>
      <c:pivotFmt>
        <c:idx val="23"/>
        <c:spPr>
          <a:solidFill>
            <a:schemeClr val="accent4"/>
          </a:solidFill>
        </c:spPr>
        <c:marker>
          <c:symbol val="none"/>
        </c:marker>
        <c:dLbl>
          <c:idx val="0"/>
          <c:delete val="1"/>
          <c:extLst>
            <c:ext xmlns:c15="http://schemas.microsoft.com/office/drawing/2012/chart" uri="{CE6537A1-D6FC-4f65-9D91-7224C49458BB}"/>
          </c:extLst>
        </c:dLbl>
      </c:pivotFmt>
      <c:pivotFmt>
        <c:idx val="24"/>
        <c:spPr>
          <a:solidFill>
            <a:srgbClr val="92D050"/>
          </a:solidFill>
        </c:spPr>
        <c:marker>
          <c:symbol val="none"/>
        </c:marker>
        <c:dLbl>
          <c:idx val="0"/>
          <c:delete val="1"/>
          <c:extLst>
            <c:ext xmlns:c15="http://schemas.microsoft.com/office/drawing/2012/chart" uri="{CE6537A1-D6FC-4f65-9D91-7224C49458BB}"/>
          </c:extLst>
        </c:dLbl>
      </c:pivotFmt>
      <c:pivotFmt>
        <c:idx val="25"/>
        <c:spPr>
          <a:solidFill>
            <a:srgbClr val="FF0000"/>
          </a:solidFill>
        </c:spPr>
        <c:marker>
          <c:symbol val="none"/>
        </c:marker>
        <c:dLbl>
          <c:idx val="0"/>
          <c:delete val="1"/>
          <c:extLst>
            <c:ext xmlns:c15="http://schemas.microsoft.com/office/drawing/2012/chart" uri="{CE6537A1-D6FC-4f65-9D91-7224C49458BB}"/>
          </c:extLst>
        </c:dLbl>
      </c:pivotFmt>
      <c:pivotFmt>
        <c:idx val="26"/>
        <c:spPr>
          <a:solidFill>
            <a:schemeClr val="accent1">
              <a:lumMod val="75000"/>
            </a:schemeClr>
          </a:solidFill>
        </c:spPr>
        <c:marker>
          <c:symbol val="none"/>
        </c:marker>
        <c:dLbl>
          <c:idx val="0"/>
          <c:delete val="1"/>
          <c:extLst>
            <c:ext xmlns:c15="http://schemas.microsoft.com/office/drawing/2012/chart" uri="{CE6537A1-D6FC-4f65-9D91-7224C49458BB}"/>
          </c:extLst>
        </c:dLbl>
      </c:pivotFmt>
      <c:pivotFmt>
        <c:idx val="27"/>
        <c:spPr>
          <a:solidFill>
            <a:schemeClr val="accent6">
              <a:lumMod val="40000"/>
              <a:lumOff val="60000"/>
            </a:schemeClr>
          </a:solidFill>
        </c:spPr>
        <c:marker>
          <c:symbol val="none"/>
        </c:marker>
        <c:dLbl>
          <c:idx val="0"/>
          <c:delete val="1"/>
          <c:extLst>
            <c:ext xmlns:c15="http://schemas.microsoft.com/office/drawing/2012/chart" uri="{CE6537A1-D6FC-4f65-9D91-7224C49458BB}"/>
          </c:extLst>
        </c:dLbl>
      </c:pivotFmt>
      <c:pivotFmt>
        <c:idx val="28"/>
        <c:spPr>
          <a:solidFill>
            <a:schemeClr val="accent4">
              <a:lumMod val="75000"/>
            </a:schemeClr>
          </a:solidFill>
        </c:spPr>
        <c:marker>
          <c:symbol val="none"/>
        </c:marker>
        <c:dLbl>
          <c:idx val="0"/>
          <c:delete val="1"/>
          <c:extLst>
            <c:ext xmlns:c15="http://schemas.microsoft.com/office/drawing/2012/chart" uri="{CE6537A1-D6FC-4f65-9D91-7224C49458BB}"/>
          </c:extLst>
        </c:dLbl>
      </c:pivotFmt>
      <c:pivotFmt>
        <c:idx val="29"/>
        <c:spPr>
          <a:solidFill>
            <a:schemeClr val="accent2">
              <a:lumMod val="60000"/>
              <a:lumOff val="40000"/>
            </a:schemeClr>
          </a:solidFill>
        </c:spPr>
        <c:marker>
          <c:symbol val="none"/>
        </c:marker>
        <c:dLbl>
          <c:idx val="0"/>
          <c:delete val="1"/>
          <c:extLst>
            <c:ext xmlns:c15="http://schemas.microsoft.com/office/drawing/2012/chart" uri="{CE6537A1-D6FC-4f65-9D91-7224C49458BB}"/>
          </c:extLst>
        </c:dLbl>
      </c:pivotFmt>
      <c:pivotFmt>
        <c:idx val="30"/>
        <c:spPr>
          <a:solidFill>
            <a:schemeClr val="accent5">
              <a:lumMod val="60000"/>
              <a:lumOff val="40000"/>
            </a:schemeClr>
          </a:solidFill>
        </c:spPr>
        <c:marker>
          <c:symbol val="none"/>
        </c:marker>
        <c:dLbl>
          <c:idx val="0"/>
          <c:delete val="1"/>
          <c:extLst>
            <c:ext xmlns:c15="http://schemas.microsoft.com/office/drawing/2012/chart" uri="{CE6537A1-D6FC-4f65-9D91-7224C49458BB}"/>
          </c:extLst>
        </c:dLbl>
      </c:pivotFmt>
      <c:pivotFmt>
        <c:idx val="31"/>
        <c:spPr>
          <a:solidFill>
            <a:schemeClr val="accent6">
              <a:lumMod val="75000"/>
            </a:schemeClr>
          </a:solidFill>
        </c:spPr>
        <c:marker>
          <c:symbol val="none"/>
        </c:marker>
        <c:dLbl>
          <c:idx val="0"/>
          <c:delete val="1"/>
          <c:extLst>
            <c:ext xmlns:c15="http://schemas.microsoft.com/office/drawing/2012/chart" uri="{CE6537A1-D6FC-4f65-9D91-7224C49458BB}"/>
          </c:extLst>
        </c:dLbl>
      </c:pivotFmt>
      <c:pivotFmt>
        <c:idx val="32"/>
        <c:spPr>
          <a:solidFill>
            <a:schemeClr val="accent1"/>
          </a:solidFill>
        </c:spPr>
        <c:marker>
          <c:symbol val="none"/>
        </c:marker>
        <c:dLbl>
          <c:idx val="0"/>
          <c:delete val="1"/>
          <c:extLst>
            <c:ext xmlns:c15="http://schemas.microsoft.com/office/drawing/2012/chart" uri="{CE6537A1-D6FC-4f65-9D91-7224C49458BB}"/>
          </c:extLst>
        </c:dLbl>
      </c:pivotFmt>
      <c:pivotFmt>
        <c:idx val="33"/>
        <c:spPr>
          <a:solidFill>
            <a:srgbClr val="00B0F0"/>
          </a:solidFill>
        </c:spPr>
        <c:marker>
          <c:symbol val="none"/>
        </c:marker>
        <c:dLbl>
          <c:idx val="0"/>
          <c:delete val="1"/>
          <c:extLst>
            <c:ext xmlns:c15="http://schemas.microsoft.com/office/drawing/2012/chart" uri="{CE6537A1-D6FC-4f65-9D91-7224C49458BB}"/>
          </c:extLst>
        </c:dLbl>
      </c:pivotFmt>
      <c:pivotFmt>
        <c:idx val="34"/>
        <c:spPr>
          <a:solidFill>
            <a:srgbClr val="7030A0"/>
          </a:solidFill>
        </c:spPr>
        <c:marker>
          <c:symbol val="none"/>
        </c:marker>
        <c:dLbl>
          <c:idx val="0"/>
          <c:delete val="1"/>
          <c:extLst>
            <c:ext xmlns:c15="http://schemas.microsoft.com/office/drawing/2012/chart" uri="{CE6537A1-D6FC-4f65-9D91-7224C49458BB}"/>
          </c:extLst>
        </c:dLbl>
      </c:pivotFmt>
      <c:pivotFmt>
        <c:idx val="35"/>
        <c:spPr>
          <a:solidFill>
            <a:schemeClr val="accent2">
              <a:lumMod val="75000"/>
            </a:schemeClr>
          </a:solidFill>
        </c:spPr>
        <c:marker>
          <c:symbol val="none"/>
        </c:marker>
        <c:dLbl>
          <c:idx val="0"/>
          <c:delete val="1"/>
          <c:extLst>
            <c:ext xmlns:c15="http://schemas.microsoft.com/office/drawing/2012/chart" uri="{CE6537A1-D6FC-4f65-9D91-7224C49458BB}"/>
          </c:extLst>
        </c:dLbl>
      </c:pivotFmt>
      <c:pivotFmt>
        <c:idx val="36"/>
        <c:spPr>
          <a:solidFill>
            <a:srgbClr val="C00000"/>
          </a:solidFill>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5.7959634966888982E-2"/>
          <c:y val="0.15540291506114928"/>
          <c:w val="0.64118960218940602"/>
          <c:h val="0.67065862511866881"/>
        </c:manualLayout>
      </c:layout>
      <c:barChart>
        <c:barDir val="col"/>
        <c:grouping val="stacked"/>
        <c:varyColors val="0"/>
        <c:ser>
          <c:idx val="0"/>
          <c:order val="0"/>
          <c:tx>
            <c:strRef>
              <c:f>'Stacked Bar Chart'!$B$3:$B$4</c:f>
              <c:strCache>
                <c:ptCount val="1"/>
                <c:pt idx="0">
                  <c:v>Issues loading text/call logs/voicemails</c:v>
                </c:pt>
              </c:strCache>
            </c:strRef>
          </c:tx>
          <c:spPr>
            <a:solidFill>
              <a:srgbClr val="C0000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Chart'!$B$5:$B$17</c:f>
              <c:numCache>
                <c:formatCode>General</c:formatCode>
                <c:ptCount val="12"/>
                <c:pt idx="0">
                  <c:v>9</c:v>
                </c:pt>
                <c:pt idx="1">
                  <c:v>2</c:v>
                </c:pt>
                <c:pt idx="2">
                  <c:v>3</c:v>
                </c:pt>
                <c:pt idx="3">
                  <c:v>5</c:v>
                </c:pt>
                <c:pt idx="4">
                  <c:v>5</c:v>
                </c:pt>
                <c:pt idx="5">
                  <c:v>6</c:v>
                </c:pt>
                <c:pt idx="6">
                  <c:v>6</c:v>
                </c:pt>
                <c:pt idx="7">
                  <c:v>1</c:v>
                </c:pt>
                <c:pt idx="8">
                  <c:v>4</c:v>
                </c:pt>
                <c:pt idx="9">
                  <c:v>4</c:v>
                </c:pt>
                <c:pt idx="10">
                  <c:v>3</c:v>
                </c:pt>
                <c:pt idx="11">
                  <c:v>3</c:v>
                </c:pt>
              </c:numCache>
            </c:numRef>
          </c:val>
          <c:extLst>
            <c:ext xmlns:c16="http://schemas.microsoft.com/office/drawing/2014/chart" uri="{C3380CC4-5D6E-409C-BE32-E72D297353CC}">
              <c16:uniqueId val="{0000000B-9942-46AA-970C-AB2776818803}"/>
            </c:ext>
          </c:extLst>
        </c:ser>
        <c:ser>
          <c:idx val="1"/>
          <c:order val="1"/>
          <c:tx>
            <c:strRef>
              <c:f>'Stacked Bar Chart'!$C$3:$C$4</c:f>
              <c:strCache>
                <c:ptCount val="1"/>
                <c:pt idx="0">
                  <c:v>Stuck in Waiting on Payment status</c:v>
                </c:pt>
              </c:strCache>
            </c:strRef>
          </c:tx>
          <c:spPr>
            <a:solidFill>
              <a:schemeClr val="accent2">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Chart'!$C$5:$C$17</c:f>
              <c:numCache>
                <c:formatCode>General</c:formatCode>
                <c:ptCount val="12"/>
                <c:pt idx="0">
                  <c:v>7</c:v>
                </c:pt>
                <c:pt idx="1">
                  <c:v>3</c:v>
                </c:pt>
                <c:pt idx="2">
                  <c:v>4</c:v>
                </c:pt>
                <c:pt idx="3">
                  <c:v>6</c:v>
                </c:pt>
                <c:pt idx="5">
                  <c:v>2</c:v>
                </c:pt>
                <c:pt idx="6">
                  <c:v>7</c:v>
                </c:pt>
                <c:pt idx="7">
                  <c:v>4</c:v>
                </c:pt>
                <c:pt idx="8">
                  <c:v>6</c:v>
                </c:pt>
                <c:pt idx="9">
                  <c:v>5</c:v>
                </c:pt>
                <c:pt idx="10">
                  <c:v>3</c:v>
                </c:pt>
                <c:pt idx="11">
                  <c:v>5</c:v>
                </c:pt>
              </c:numCache>
            </c:numRef>
          </c:val>
          <c:extLst>
            <c:ext xmlns:c16="http://schemas.microsoft.com/office/drawing/2014/chart" uri="{C3380CC4-5D6E-409C-BE32-E72D297353CC}">
              <c16:uniqueId val="{00000001-018E-4732-980B-931D16888FE2}"/>
            </c:ext>
          </c:extLst>
        </c:ser>
        <c:ser>
          <c:idx val="2"/>
          <c:order val="2"/>
          <c:tx>
            <c:strRef>
              <c:f>'Stacked Bar Chart'!$D$3:$D$4</c:f>
              <c:strCache>
                <c:ptCount val="1"/>
                <c:pt idx="0">
                  <c:v>Making/Accepting calls</c:v>
                </c:pt>
              </c:strCache>
            </c:strRef>
          </c:tx>
          <c:spPr>
            <a:solidFill>
              <a:srgbClr val="7030A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Chart'!$D$5:$D$17</c:f>
              <c:numCache>
                <c:formatCode>General</c:formatCode>
                <c:ptCount val="12"/>
                <c:pt idx="0">
                  <c:v>4</c:v>
                </c:pt>
                <c:pt idx="1">
                  <c:v>4</c:v>
                </c:pt>
                <c:pt idx="2">
                  <c:v>6</c:v>
                </c:pt>
                <c:pt idx="3">
                  <c:v>6</c:v>
                </c:pt>
                <c:pt idx="4">
                  <c:v>4</c:v>
                </c:pt>
                <c:pt idx="5">
                  <c:v>1</c:v>
                </c:pt>
                <c:pt idx="6">
                  <c:v>4</c:v>
                </c:pt>
                <c:pt idx="7">
                  <c:v>5</c:v>
                </c:pt>
                <c:pt idx="8">
                  <c:v>6</c:v>
                </c:pt>
                <c:pt idx="9">
                  <c:v>4</c:v>
                </c:pt>
                <c:pt idx="10">
                  <c:v>5</c:v>
                </c:pt>
                <c:pt idx="11">
                  <c:v>5</c:v>
                </c:pt>
              </c:numCache>
            </c:numRef>
          </c:val>
          <c:extLst>
            <c:ext xmlns:c16="http://schemas.microsoft.com/office/drawing/2014/chart" uri="{C3380CC4-5D6E-409C-BE32-E72D297353CC}">
              <c16:uniqueId val="{00000002-018E-4732-980B-931D16888FE2}"/>
            </c:ext>
          </c:extLst>
        </c:ser>
        <c:ser>
          <c:idx val="3"/>
          <c:order val="3"/>
          <c:tx>
            <c:strRef>
              <c:f>'Stacked Bar Chart'!$E$3:$E$4</c:f>
              <c:strCache>
                <c:ptCount val="1"/>
                <c:pt idx="0">
                  <c:v>waiting on payment</c:v>
                </c:pt>
              </c:strCache>
            </c:strRef>
          </c:tx>
          <c:spPr>
            <a:solidFill>
              <a:srgbClr val="00B050"/>
            </a:solidFill>
            <a:ln w="25400">
              <a:noFill/>
            </a:ln>
            <a:effectLst/>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Chart'!$E$5:$E$17</c:f>
              <c:numCache>
                <c:formatCode>General</c:formatCode>
                <c:ptCount val="12"/>
                <c:pt idx="0">
                  <c:v>6</c:v>
                </c:pt>
                <c:pt idx="1">
                  <c:v>2</c:v>
                </c:pt>
                <c:pt idx="2">
                  <c:v>9</c:v>
                </c:pt>
                <c:pt idx="3">
                  <c:v>4</c:v>
                </c:pt>
                <c:pt idx="4">
                  <c:v>4</c:v>
                </c:pt>
                <c:pt idx="5">
                  <c:v>2</c:v>
                </c:pt>
                <c:pt idx="6">
                  <c:v>8</c:v>
                </c:pt>
                <c:pt idx="7">
                  <c:v>4</c:v>
                </c:pt>
                <c:pt idx="8">
                  <c:v>6</c:v>
                </c:pt>
                <c:pt idx="9">
                  <c:v>2</c:v>
                </c:pt>
                <c:pt idx="10">
                  <c:v>3</c:v>
                </c:pt>
                <c:pt idx="11">
                  <c:v>4</c:v>
                </c:pt>
              </c:numCache>
            </c:numRef>
          </c:val>
          <c:extLst>
            <c:ext xmlns:c16="http://schemas.microsoft.com/office/drawing/2014/chart" uri="{C3380CC4-5D6E-409C-BE32-E72D297353CC}">
              <c16:uniqueId val="{00000003-018E-4732-980B-931D16888FE2}"/>
            </c:ext>
          </c:extLst>
        </c:ser>
        <c:ser>
          <c:idx val="4"/>
          <c:order val="4"/>
          <c:tx>
            <c:strRef>
              <c:f>'Stacked Bar Chart'!$F$3:$F$4</c:f>
              <c:strCache>
                <c:ptCount val="1"/>
                <c:pt idx="0">
                  <c:v>Voicemail Issues</c:v>
                </c:pt>
              </c:strCache>
            </c:strRef>
          </c:tx>
          <c:spPr>
            <a:solidFill>
              <a:srgbClr val="00B0F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Chart'!$F$5:$F$17</c:f>
              <c:numCache>
                <c:formatCode>General</c:formatCode>
                <c:ptCount val="12"/>
                <c:pt idx="0">
                  <c:v>6</c:v>
                </c:pt>
                <c:pt idx="1">
                  <c:v>6</c:v>
                </c:pt>
                <c:pt idx="2">
                  <c:v>4</c:v>
                </c:pt>
                <c:pt idx="3">
                  <c:v>5</c:v>
                </c:pt>
                <c:pt idx="4">
                  <c:v>5</c:v>
                </c:pt>
                <c:pt idx="5">
                  <c:v>2</c:v>
                </c:pt>
                <c:pt idx="6">
                  <c:v>4</c:v>
                </c:pt>
                <c:pt idx="7">
                  <c:v>7</c:v>
                </c:pt>
                <c:pt idx="8">
                  <c:v>4</c:v>
                </c:pt>
                <c:pt idx="9">
                  <c:v>4</c:v>
                </c:pt>
                <c:pt idx="10">
                  <c:v>1</c:v>
                </c:pt>
                <c:pt idx="11">
                  <c:v>7</c:v>
                </c:pt>
              </c:numCache>
            </c:numRef>
          </c:val>
          <c:extLst>
            <c:ext xmlns:c16="http://schemas.microsoft.com/office/drawing/2014/chart" uri="{C3380CC4-5D6E-409C-BE32-E72D297353CC}">
              <c16:uniqueId val="{00000004-018E-4732-980B-931D16888FE2}"/>
            </c:ext>
          </c:extLst>
        </c:ser>
        <c:ser>
          <c:idx val="5"/>
          <c:order val="5"/>
          <c:tx>
            <c:strRef>
              <c:f>'Stacked Bar Chart'!$G$3:$G$4</c:f>
              <c:strCache>
                <c:ptCount val="1"/>
                <c:pt idx="0">
                  <c:v>Automated Email issues</c:v>
                </c:pt>
              </c:strCache>
            </c:strRef>
          </c:tx>
          <c:spPr>
            <a:solidFill>
              <a:schemeClr val="bg1">
                <a:lumMod val="5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Chart'!$G$5:$G$17</c:f>
              <c:numCache>
                <c:formatCode>General</c:formatCode>
                <c:ptCount val="12"/>
                <c:pt idx="0">
                  <c:v>7</c:v>
                </c:pt>
                <c:pt idx="1">
                  <c:v>6</c:v>
                </c:pt>
                <c:pt idx="2">
                  <c:v>9</c:v>
                </c:pt>
                <c:pt idx="3">
                  <c:v>5</c:v>
                </c:pt>
                <c:pt idx="4">
                  <c:v>5</c:v>
                </c:pt>
                <c:pt idx="5">
                  <c:v>2</c:v>
                </c:pt>
                <c:pt idx="6">
                  <c:v>7</c:v>
                </c:pt>
                <c:pt idx="7">
                  <c:v>5</c:v>
                </c:pt>
                <c:pt idx="8">
                  <c:v>4</c:v>
                </c:pt>
                <c:pt idx="9">
                  <c:v>1</c:v>
                </c:pt>
                <c:pt idx="10">
                  <c:v>2</c:v>
                </c:pt>
                <c:pt idx="11">
                  <c:v>3</c:v>
                </c:pt>
              </c:numCache>
            </c:numRef>
          </c:val>
          <c:extLst>
            <c:ext xmlns:c16="http://schemas.microsoft.com/office/drawing/2014/chart" uri="{C3380CC4-5D6E-409C-BE32-E72D297353CC}">
              <c16:uniqueId val="{00000005-018E-4732-980B-931D16888FE2}"/>
            </c:ext>
          </c:extLst>
        </c:ser>
        <c:ser>
          <c:idx val="6"/>
          <c:order val="6"/>
          <c:tx>
            <c:strRef>
              <c:f>'Stacked Bar Chart'!$H$3:$H$4</c:f>
              <c:strCache>
                <c:ptCount val="1"/>
                <c:pt idx="0">
                  <c:v>Time Stamp issues</c:v>
                </c:pt>
              </c:strCache>
            </c:strRef>
          </c:tx>
          <c:spPr>
            <a:solidFill>
              <a:schemeClr val="accent4"/>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Chart'!$H$5:$H$17</c:f>
              <c:numCache>
                <c:formatCode>General</c:formatCode>
                <c:ptCount val="12"/>
                <c:pt idx="0">
                  <c:v>5</c:v>
                </c:pt>
                <c:pt idx="1">
                  <c:v>3</c:v>
                </c:pt>
                <c:pt idx="2">
                  <c:v>5</c:v>
                </c:pt>
                <c:pt idx="3">
                  <c:v>8</c:v>
                </c:pt>
                <c:pt idx="4">
                  <c:v>5</c:v>
                </c:pt>
                <c:pt idx="5">
                  <c:v>5</c:v>
                </c:pt>
                <c:pt idx="6">
                  <c:v>3</c:v>
                </c:pt>
                <c:pt idx="7">
                  <c:v>5</c:v>
                </c:pt>
                <c:pt idx="8">
                  <c:v>4</c:v>
                </c:pt>
                <c:pt idx="9">
                  <c:v>3</c:v>
                </c:pt>
                <c:pt idx="10">
                  <c:v>7</c:v>
                </c:pt>
                <c:pt idx="11">
                  <c:v>4</c:v>
                </c:pt>
              </c:numCache>
            </c:numRef>
          </c:val>
          <c:extLst>
            <c:ext xmlns:c16="http://schemas.microsoft.com/office/drawing/2014/chart" uri="{C3380CC4-5D6E-409C-BE32-E72D297353CC}">
              <c16:uniqueId val="{00000006-018E-4732-980B-931D16888FE2}"/>
            </c:ext>
          </c:extLst>
        </c:ser>
        <c:ser>
          <c:idx val="7"/>
          <c:order val="7"/>
          <c:tx>
            <c:strRef>
              <c:f>'Stacked Bar Chart'!$I$3:$I$4</c:f>
              <c:strCache>
                <c:ptCount val="1"/>
                <c:pt idx="0">
                  <c:v>In app/portal features not working</c:v>
                </c:pt>
              </c:strCache>
            </c:strRef>
          </c:tx>
          <c:spPr>
            <a:solidFill>
              <a:srgbClr val="92D05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Chart'!$I$5:$I$17</c:f>
              <c:numCache>
                <c:formatCode>General</c:formatCode>
                <c:ptCount val="12"/>
                <c:pt idx="0">
                  <c:v>7</c:v>
                </c:pt>
                <c:pt idx="1">
                  <c:v>3</c:v>
                </c:pt>
                <c:pt idx="2">
                  <c:v>6</c:v>
                </c:pt>
                <c:pt idx="3">
                  <c:v>4</c:v>
                </c:pt>
                <c:pt idx="4">
                  <c:v>4</c:v>
                </c:pt>
                <c:pt idx="5">
                  <c:v>4</c:v>
                </c:pt>
                <c:pt idx="6">
                  <c:v>5</c:v>
                </c:pt>
                <c:pt idx="7">
                  <c:v>4</c:v>
                </c:pt>
                <c:pt idx="8">
                  <c:v>5</c:v>
                </c:pt>
                <c:pt idx="9">
                  <c:v>6</c:v>
                </c:pt>
                <c:pt idx="10">
                  <c:v>5</c:v>
                </c:pt>
                <c:pt idx="11">
                  <c:v>8</c:v>
                </c:pt>
              </c:numCache>
            </c:numRef>
          </c:val>
          <c:extLst>
            <c:ext xmlns:c16="http://schemas.microsoft.com/office/drawing/2014/chart" uri="{C3380CC4-5D6E-409C-BE32-E72D297353CC}">
              <c16:uniqueId val="{00000007-018E-4732-980B-931D16888FE2}"/>
            </c:ext>
          </c:extLst>
        </c:ser>
        <c:ser>
          <c:idx val="8"/>
          <c:order val="8"/>
          <c:tx>
            <c:strRef>
              <c:f>'Stacked Bar Chart'!$J$3:$J$4</c:f>
              <c:strCache>
                <c:ptCount val="1"/>
                <c:pt idx="0">
                  <c:v>VO and PS not linked correctly</c:v>
                </c:pt>
              </c:strCache>
            </c:strRef>
          </c:tx>
          <c:spPr>
            <a:solidFill>
              <a:srgbClr val="FF000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Chart'!$J$5:$J$17</c:f>
              <c:numCache>
                <c:formatCode>General</c:formatCode>
                <c:ptCount val="12"/>
                <c:pt idx="0">
                  <c:v>10</c:v>
                </c:pt>
                <c:pt idx="1">
                  <c:v>3</c:v>
                </c:pt>
                <c:pt idx="2">
                  <c:v>4</c:v>
                </c:pt>
                <c:pt idx="3">
                  <c:v>9</c:v>
                </c:pt>
                <c:pt idx="4">
                  <c:v>3</c:v>
                </c:pt>
                <c:pt idx="5">
                  <c:v>7</c:v>
                </c:pt>
                <c:pt idx="6">
                  <c:v>3</c:v>
                </c:pt>
                <c:pt idx="7">
                  <c:v>5</c:v>
                </c:pt>
                <c:pt idx="8">
                  <c:v>3</c:v>
                </c:pt>
                <c:pt idx="9">
                  <c:v>3</c:v>
                </c:pt>
                <c:pt idx="10">
                  <c:v>9</c:v>
                </c:pt>
                <c:pt idx="11">
                  <c:v>3</c:v>
                </c:pt>
              </c:numCache>
            </c:numRef>
          </c:val>
          <c:extLst>
            <c:ext xmlns:c16="http://schemas.microsoft.com/office/drawing/2014/chart" uri="{C3380CC4-5D6E-409C-BE32-E72D297353CC}">
              <c16:uniqueId val="{00000008-018E-4732-980B-931D16888FE2}"/>
            </c:ext>
          </c:extLst>
        </c:ser>
        <c:ser>
          <c:idx val="9"/>
          <c:order val="9"/>
          <c:tx>
            <c:strRef>
              <c:f>'Stacked Bar Chart'!$K$3:$K$4</c:f>
              <c:strCache>
                <c:ptCount val="1"/>
                <c:pt idx="0">
                  <c:v>phone service</c:v>
                </c:pt>
              </c:strCache>
            </c:strRef>
          </c:tx>
          <c:spPr>
            <a:solidFill>
              <a:schemeClr val="accent1">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Chart'!$K$5:$K$17</c:f>
              <c:numCache>
                <c:formatCode>General</c:formatCode>
                <c:ptCount val="12"/>
                <c:pt idx="0">
                  <c:v>7</c:v>
                </c:pt>
                <c:pt idx="1">
                  <c:v>5</c:v>
                </c:pt>
                <c:pt idx="2">
                  <c:v>2</c:v>
                </c:pt>
                <c:pt idx="3">
                  <c:v>4</c:v>
                </c:pt>
                <c:pt idx="4">
                  <c:v>6</c:v>
                </c:pt>
                <c:pt idx="5">
                  <c:v>6</c:v>
                </c:pt>
                <c:pt idx="6">
                  <c:v>7</c:v>
                </c:pt>
                <c:pt idx="7">
                  <c:v>6</c:v>
                </c:pt>
                <c:pt idx="8">
                  <c:v>1</c:v>
                </c:pt>
                <c:pt idx="9">
                  <c:v>5</c:v>
                </c:pt>
                <c:pt idx="10">
                  <c:v>9</c:v>
                </c:pt>
                <c:pt idx="11">
                  <c:v>5</c:v>
                </c:pt>
              </c:numCache>
            </c:numRef>
          </c:val>
          <c:extLst>
            <c:ext xmlns:c16="http://schemas.microsoft.com/office/drawing/2014/chart" uri="{C3380CC4-5D6E-409C-BE32-E72D297353CC}">
              <c16:uniqueId val="{00000009-018E-4732-980B-931D16888FE2}"/>
            </c:ext>
          </c:extLst>
        </c:ser>
        <c:ser>
          <c:idx val="10"/>
          <c:order val="10"/>
          <c:tx>
            <c:strRef>
              <c:f>'Stacked Bar Chart'!$L$3:$L$4</c:f>
              <c:strCache>
                <c:ptCount val="1"/>
                <c:pt idx="0">
                  <c:v>Number port issues</c:v>
                </c:pt>
              </c:strCache>
            </c:strRef>
          </c:tx>
          <c:spPr>
            <a:solidFill>
              <a:schemeClr val="accent6">
                <a:lumMod val="40000"/>
                <a:lumOff val="6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Chart'!$L$5:$L$17</c:f>
              <c:numCache>
                <c:formatCode>General</c:formatCode>
                <c:ptCount val="12"/>
                <c:pt idx="0">
                  <c:v>8</c:v>
                </c:pt>
                <c:pt idx="1">
                  <c:v>7</c:v>
                </c:pt>
                <c:pt idx="2">
                  <c:v>3</c:v>
                </c:pt>
                <c:pt idx="3">
                  <c:v>7</c:v>
                </c:pt>
                <c:pt idx="4">
                  <c:v>7</c:v>
                </c:pt>
                <c:pt idx="5">
                  <c:v>5</c:v>
                </c:pt>
                <c:pt idx="6">
                  <c:v>7</c:v>
                </c:pt>
                <c:pt idx="7">
                  <c:v>4</c:v>
                </c:pt>
                <c:pt idx="8">
                  <c:v>4</c:v>
                </c:pt>
                <c:pt idx="9">
                  <c:v>5</c:v>
                </c:pt>
                <c:pt idx="10">
                  <c:v>3</c:v>
                </c:pt>
                <c:pt idx="11">
                  <c:v>6</c:v>
                </c:pt>
              </c:numCache>
            </c:numRef>
          </c:val>
          <c:extLst>
            <c:ext xmlns:c16="http://schemas.microsoft.com/office/drawing/2014/chart" uri="{C3380CC4-5D6E-409C-BE32-E72D297353CC}">
              <c16:uniqueId val="{0000000A-018E-4732-980B-931D16888FE2}"/>
            </c:ext>
          </c:extLst>
        </c:ser>
        <c:ser>
          <c:idx val="11"/>
          <c:order val="11"/>
          <c:tx>
            <c:strRef>
              <c:f>'Stacked Bar Chart'!$M$3:$M$4</c:f>
              <c:strCache>
                <c:ptCount val="1"/>
                <c:pt idx="0">
                  <c:v>Remove phone number from # pool</c:v>
                </c:pt>
              </c:strCache>
            </c:strRef>
          </c:tx>
          <c:spPr>
            <a:solidFill>
              <a:schemeClr val="accent4">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Chart'!$M$5:$M$17</c:f>
              <c:numCache>
                <c:formatCode>General</c:formatCode>
                <c:ptCount val="12"/>
                <c:pt idx="0">
                  <c:v>6</c:v>
                </c:pt>
                <c:pt idx="1">
                  <c:v>4</c:v>
                </c:pt>
                <c:pt idx="2">
                  <c:v>7</c:v>
                </c:pt>
                <c:pt idx="3">
                  <c:v>4</c:v>
                </c:pt>
                <c:pt idx="4">
                  <c:v>4</c:v>
                </c:pt>
                <c:pt idx="5">
                  <c:v>8</c:v>
                </c:pt>
                <c:pt idx="6">
                  <c:v>3</c:v>
                </c:pt>
                <c:pt idx="7">
                  <c:v>5</c:v>
                </c:pt>
                <c:pt idx="8">
                  <c:v>7</c:v>
                </c:pt>
                <c:pt idx="9">
                  <c:v>13</c:v>
                </c:pt>
                <c:pt idx="10">
                  <c:v>4</c:v>
                </c:pt>
                <c:pt idx="11">
                  <c:v>3</c:v>
                </c:pt>
              </c:numCache>
            </c:numRef>
          </c:val>
          <c:extLst>
            <c:ext xmlns:c16="http://schemas.microsoft.com/office/drawing/2014/chart" uri="{C3380CC4-5D6E-409C-BE32-E72D297353CC}">
              <c16:uniqueId val="{0000000B-018E-4732-980B-931D16888FE2}"/>
            </c:ext>
          </c:extLst>
        </c:ser>
        <c:ser>
          <c:idx val="12"/>
          <c:order val="12"/>
          <c:tx>
            <c:strRef>
              <c:f>'Stacked Bar Chart'!$N$3:$N$4</c:f>
              <c:strCache>
                <c:ptCount val="1"/>
                <c:pt idx="0">
                  <c:v>App availability issues</c:v>
                </c:pt>
              </c:strCache>
            </c:strRef>
          </c:tx>
          <c:spPr>
            <a:solidFill>
              <a:schemeClr val="accent2">
                <a:lumMod val="60000"/>
                <a:lumOff val="4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Chart'!$N$5:$N$17</c:f>
              <c:numCache>
                <c:formatCode>General</c:formatCode>
                <c:ptCount val="12"/>
                <c:pt idx="0">
                  <c:v>4</c:v>
                </c:pt>
                <c:pt idx="1">
                  <c:v>9</c:v>
                </c:pt>
                <c:pt idx="2">
                  <c:v>3</c:v>
                </c:pt>
                <c:pt idx="3">
                  <c:v>4</c:v>
                </c:pt>
                <c:pt idx="4">
                  <c:v>10</c:v>
                </c:pt>
                <c:pt idx="5">
                  <c:v>7</c:v>
                </c:pt>
                <c:pt idx="6">
                  <c:v>8</c:v>
                </c:pt>
                <c:pt idx="7">
                  <c:v>3</c:v>
                </c:pt>
                <c:pt idx="8">
                  <c:v>2</c:v>
                </c:pt>
                <c:pt idx="9">
                  <c:v>8</c:v>
                </c:pt>
                <c:pt idx="10">
                  <c:v>7</c:v>
                </c:pt>
                <c:pt idx="11">
                  <c:v>4</c:v>
                </c:pt>
              </c:numCache>
            </c:numRef>
          </c:val>
          <c:extLst>
            <c:ext xmlns:c16="http://schemas.microsoft.com/office/drawing/2014/chart" uri="{C3380CC4-5D6E-409C-BE32-E72D297353CC}">
              <c16:uniqueId val="{0000000C-018E-4732-980B-931D16888FE2}"/>
            </c:ext>
          </c:extLst>
        </c:ser>
        <c:ser>
          <c:idx val="13"/>
          <c:order val="13"/>
          <c:tx>
            <c:strRef>
              <c:f>'Stacked Bar Chart'!$O$3:$O$4</c:f>
              <c:strCache>
                <c:ptCount val="1"/>
                <c:pt idx="0">
                  <c:v>App freezing</c:v>
                </c:pt>
              </c:strCache>
            </c:strRef>
          </c:tx>
          <c:spPr>
            <a:solidFill>
              <a:schemeClr val="accent5">
                <a:lumMod val="60000"/>
                <a:lumOff val="4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Chart'!$O$5:$O$17</c:f>
              <c:numCache>
                <c:formatCode>General</c:formatCode>
                <c:ptCount val="12"/>
                <c:pt idx="0">
                  <c:v>8</c:v>
                </c:pt>
                <c:pt idx="1">
                  <c:v>5</c:v>
                </c:pt>
                <c:pt idx="2">
                  <c:v>4</c:v>
                </c:pt>
                <c:pt idx="3">
                  <c:v>10</c:v>
                </c:pt>
                <c:pt idx="4">
                  <c:v>3</c:v>
                </c:pt>
                <c:pt idx="5">
                  <c:v>8</c:v>
                </c:pt>
                <c:pt idx="6">
                  <c:v>5</c:v>
                </c:pt>
                <c:pt idx="7">
                  <c:v>8</c:v>
                </c:pt>
                <c:pt idx="8">
                  <c:v>4</c:v>
                </c:pt>
                <c:pt idx="9">
                  <c:v>9</c:v>
                </c:pt>
                <c:pt idx="10">
                  <c:v>5</c:v>
                </c:pt>
                <c:pt idx="11">
                  <c:v>2</c:v>
                </c:pt>
              </c:numCache>
            </c:numRef>
          </c:val>
          <c:extLst>
            <c:ext xmlns:c16="http://schemas.microsoft.com/office/drawing/2014/chart" uri="{C3380CC4-5D6E-409C-BE32-E72D297353CC}">
              <c16:uniqueId val="{0000000D-018E-4732-980B-931D16888FE2}"/>
            </c:ext>
          </c:extLst>
        </c:ser>
        <c:ser>
          <c:idx val="14"/>
          <c:order val="14"/>
          <c:tx>
            <c:strRef>
              <c:f>'Stacked Bar Chart'!$P$3:$P$4</c:f>
              <c:strCache>
                <c:ptCount val="1"/>
                <c:pt idx="0">
                  <c:v>Invoice issues</c:v>
                </c:pt>
              </c:strCache>
            </c:strRef>
          </c:tx>
          <c:spPr>
            <a:solidFill>
              <a:schemeClr val="accent6">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Chart'!$P$5:$P$17</c:f>
              <c:numCache>
                <c:formatCode>General</c:formatCode>
                <c:ptCount val="12"/>
                <c:pt idx="0">
                  <c:v>9</c:v>
                </c:pt>
                <c:pt idx="1">
                  <c:v>5</c:v>
                </c:pt>
                <c:pt idx="2">
                  <c:v>7</c:v>
                </c:pt>
                <c:pt idx="3">
                  <c:v>4</c:v>
                </c:pt>
                <c:pt idx="4">
                  <c:v>5</c:v>
                </c:pt>
                <c:pt idx="5">
                  <c:v>6</c:v>
                </c:pt>
                <c:pt idx="6">
                  <c:v>9</c:v>
                </c:pt>
                <c:pt idx="7">
                  <c:v>10</c:v>
                </c:pt>
                <c:pt idx="8">
                  <c:v>4</c:v>
                </c:pt>
                <c:pt idx="9">
                  <c:v>7</c:v>
                </c:pt>
                <c:pt idx="10">
                  <c:v>5</c:v>
                </c:pt>
                <c:pt idx="11">
                  <c:v>5</c:v>
                </c:pt>
              </c:numCache>
            </c:numRef>
          </c:val>
          <c:extLst>
            <c:ext xmlns:c16="http://schemas.microsoft.com/office/drawing/2014/chart" uri="{C3380CC4-5D6E-409C-BE32-E72D297353CC}">
              <c16:uniqueId val="{0000000E-018E-4732-980B-931D16888FE2}"/>
            </c:ext>
          </c:extLst>
        </c:ser>
        <c:ser>
          <c:idx val="15"/>
          <c:order val="15"/>
          <c:tx>
            <c:strRef>
              <c:f>'Stacked Bar Chart'!$Q$3:$Q$4</c:f>
              <c:strCache>
                <c:ptCount val="1"/>
                <c:pt idx="0">
                  <c:v>Multiline issues</c:v>
                </c:pt>
              </c:strCache>
            </c:strRef>
          </c:tx>
          <c:spPr>
            <a:solidFill>
              <a:schemeClr val="accent1"/>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Chart'!$Q$5:$Q$17</c:f>
              <c:numCache>
                <c:formatCode>General</c:formatCode>
                <c:ptCount val="12"/>
                <c:pt idx="0">
                  <c:v>8</c:v>
                </c:pt>
                <c:pt idx="1">
                  <c:v>5</c:v>
                </c:pt>
                <c:pt idx="2">
                  <c:v>7</c:v>
                </c:pt>
                <c:pt idx="3">
                  <c:v>7</c:v>
                </c:pt>
                <c:pt idx="4">
                  <c:v>8</c:v>
                </c:pt>
                <c:pt idx="5">
                  <c:v>3</c:v>
                </c:pt>
                <c:pt idx="6">
                  <c:v>5</c:v>
                </c:pt>
                <c:pt idx="7">
                  <c:v>4</c:v>
                </c:pt>
                <c:pt idx="8">
                  <c:v>12</c:v>
                </c:pt>
                <c:pt idx="9">
                  <c:v>10</c:v>
                </c:pt>
                <c:pt idx="10">
                  <c:v>7</c:v>
                </c:pt>
                <c:pt idx="11">
                  <c:v>9</c:v>
                </c:pt>
              </c:numCache>
            </c:numRef>
          </c:val>
          <c:extLst>
            <c:ext xmlns:c16="http://schemas.microsoft.com/office/drawing/2014/chart" uri="{C3380CC4-5D6E-409C-BE32-E72D297353CC}">
              <c16:uniqueId val="{0000000F-018E-4732-980B-931D16888FE2}"/>
            </c:ext>
          </c:extLst>
        </c:ser>
        <c:dLbls>
          <c:showLegendKey val="0"/>
          <c:showVal val="0"/>
          <c:showCatName val="0"/>
          <c:showSerName val="0"/>
          <c:showPercent val="0"/>
          <c:showBubbleSize val="0"/>
        </c:dLbls>
        <c:gapWidth val="150"/>
        <c:overlap val="100"/>
        <c:axId val="1178306463"/>
        <c:axId val="2120119631"/>
      </c:barChart>
      <c:catAx>
        <c:axId val="117830646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120119631"/>
        <c:crosses val="autoZero"/>
        <c:auto val="1"/>
        <c:lblAlgn val="ctr"/>
        <c:lblOffset val="100"/>
        <c:noMultiLvlLbl val="0"/>
      </c:catAx>
      <c:valAx>
        <c:axId val="2120119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8306463"/>
        <c:crosses val="autoZero"/>
        <c:crossBetween val="between"/>
      </c:valAx>
      <c:spPr>
        <a:noFill/>
        <a:ln>
          <a:noFill/>
        </a:ln>
      </c:spPr>
    </c:plotArea>
    <c:legend>
      <c:legendPos val="r"/>
      <c:layout>
        <c:manualLayout>
          <c:xMode val="edge"/>
          <c:yMode val="edge"/>
          <c:x val="0.71608031869681765"/>
          <c:y val="6.5824767196407272E-2"/>
          <c:w val="0.26063027467168043"/>
          <c:h val="0.85382213722578137"/>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zero"/>
    <c:showDLblsOverMax val="0"/>
    <c:extLst/>
  </c:chart>
  <c:spPr>
    <a:solidFill>
      <a:schemeClr val="tx1">
        <a:lumMod val="50000"/>
        <a:lumOff val="50000"/>
        <a:alpha val="60000"/>
      </a:schemeClr>
    </a:solidFill>
    <a:ln>
      <a:noFill/>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Reports.xlsm]Doughnut Graph!PivotTable5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Tickets by Issue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noFill/>
          </a:ln>
          <a:effectLst/>
        </c:spPr>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pivotFmt>
      <c:pivotFmt>
        <c:idx val="11"/>
        <c:spPr>
          <a:solidFill>
            <a:schemeClr val="accent1"/>
          </a:solidFill>
          <a:ln w="19050">
            <a:noFill/>
          </a:ln>
          <a:effectLst/>
        </c:spPr>
      </c:pivotFmt>
      <c:pivotFmt>
        <c:idx val="12"/>
        <c:spPr>
          <a:solidFill>
            <a:schemeClr val="accent1"/>
          </a:solidFill>
          <a:ln w="19050">
            <a:noFill/>
          </a:ln>
          <a:effectLst/>
        </c:spPr>
      </c:pivotFmt>
      <c:pivotFmt>
        <c:idx val="13"/>
        <c:spPr>
          <a:solidFill>
            <a:schemeClr val="accent1"/>
          </a:solidFill>
          <a:ln w="19050">
            <a:noFill/>
          </a:ln>
          <a:effectLst/>
        </c:spPr>
      </c:pivotFmt>
      <c:pivotFmt>
        <c:idx val="14"/>
        <c:spPr>
          <a:solidFill>
            <a:schemeClr val="accent1"/>
          </a:solidFill>
          <a:ln w="19050">
            <a:noFill/>
          </a:ln>
          <a:effectLst/>
        </c:spPr>
      </c:pivotFmt>
      <c:pivotFmt>
        <c:idx val="15"/>
        <c:spPr>
          <a:solidFill>
            <a:schemeClr val="accent1"/>
          </a:solidFill>
          <a:ln w="19050">
            <a:noFill/>
          </a:ln>
          <a:effectLst/>
        </c:spPr>
      </c:pivotFmt>
      <c:pivotFmt>
        <c:idx val="16"/>
        <c:spPr>
          <a:solidFill>
            <a:schemeClr val="accent1"/>
          </a:solidFill>
          <a:ln w="19050">
            <a:noFill/>
          </a:ln>
          <a:effectLst/>
        </c:spPr>
      </c:pivotFmt>
    </c:pivotFmts>
    <c:plotArea>
      <c:layout/>
      <c:doughnutChart>
        <c:varyColors val="1"/>
        <c:ser>
          <c:idx val="0"/>
          <c:order val="0"/>
          <c:tx>
            <c:strRef>
              <c:f>'Doughnut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0AB2-439A-BF72-40DBA85550E5}"/>
              </c:ext>
            </c:extLst>
          </c:dPt>
          <c:dPt>
            <c:idx val="1"/>
            <c:bubble3D val="0"/>
            <c:spPr>
              <a:solidFill>
                <a:schemeClr val="accent2"/>
              </a:solidFill>
              <a:ln w="19050">
                <a:noFill/>
              </a:ln>
              <a:effectLst/>
            </c:spPr>
            <c:extLst>
              <c:ext xmlns:c16="http://schemas.microsoft.com/office/drawing/2014/chart" uri="{C3380CC4-5D6E-409C-BE32-E72D297353CC}">
                <c16:uniqueId val="{00000003-0AB2-439A-BF72-40DBA85550E5}"/>
              </c:ext>
            </c:extLst>
          </c:dPt>
          <c:dPt>
            <c:idx val="2"/>
            <c:bubble3D val="0"/>
            <c:spPr>
              <a:solidFill>
                <a:schemeClr val="accent3"/>
              </a:solidFill>
              <a:ln w="19050">
                <a:noFill/>
              </a:ln>
              <a:effectLst/>
            </c:spPr>
            <c:extLst>
              <c:ext xmlns:c16="http://schemas.microsoft.com/office/drawing/2014/chart" uri="{C3380CC4-5D6E-409C-BE32-E72D297353CC}">
                <c16:uniqueId val="{00000005-0AB2-439A-BF72-40DBA85550E5}"/>
              </c:ext>
            </c:extLst>
          </c:dPt>
          <c:dPt>
            <c:idx val="3"/>
            <c:bubble3D val="0"/>
            <c:spPr>
              <a:solidFill>
                <a:schemeClr val="accent4"/>
              </a:solidFill>
              <a:ln w="19050">
                <a:noFill/>
              </a:ln>
              <a:effectLst/>
            </c:spPr>
            <c:extLst>
              <c:ext xmlns:c16="http://schemas.microsoft.com/office/drawing/2014/chart" uri="{C3380CC4-5D6E-409C-BE32-E72D297353CC}">
                <c16:uniqueId val="{00000007-0AB2-439A-BF72-40DBA85550E5}"/>
              </c:ext>
            </c:extLst>
          </c:dPt>
          <c:dPt>
            <c:idx val="4"/>
            <c:bubble3D val="0"/>
            <c:spPr>
              <a:solidFill>
                <a:schemeClr val="accent5"/>
              </a:solidFill>
              <a:ln w="19050">
                <a:noFill/>
              </a:ln>
              <a:effectLst/>
            </c:spPr>
            <c:extLst>
              <c:ext xmlns:c16="http://schemas.microsoft.com/office/drawing/2014/chart" uri="{C3380CC4-5D6E-409C-BE32-E72D297353CC}">
                <c16:uniqueId val="{00000009-0AB2-439A-BF72-40DBA85550E5}"/>
              </c:ext>
            </c:extLst>
          </c:dPt>
          <c:dPt>
            <c:idx val="5"/>
            <c:bubble3D val="0"/>
            <c:spPr>
              <a:solidFill>
                <a:schemeClr val="accent6"/>
              </a:solidFill>
              <a:ln w="19050">
                <a:noFill/>
              </a:ln>
              <a:effectLst/>
            </c:spPr>
            <c:extLst>
              <c:ext xmlns:c16="http://schemas.microsoft.com/office/drawing/2014/chart" uri="{C3380CC4-5D6E-409C-BE32-E72D297353CC}">
                <c16:uniqueId val="{0000000B-3684-4B13-9C2F-AA357138BF6D}"/>
              </c:ext>
            </c:extLst>
          </c:dPt>
          <c:dPt>
            <c:idx val="6"/>
            <c:bubble3D val="0"/>
            <c:spPr>
              <a:solidFill>
                <a:schemeClr val="accent1">
                  <a:lumMod val="60000"/>
                </a:schemeClr>
              </a:solidFill>
              <a:ln w="19050">
                <a:noFill/>
              </a:ln>
              <a:effectLst/>
            </c:spPr>
            <c:extLst>
              <c:ext xmlns:c16="http://schemas.microsoft.com/office/drawing/2014/chart" uri="{C3380CC4-5D6E-409C-BE32-E72D297353CC}">
                <c16:uniqueId val="{0000000D-3684-4B13-9C2F-AA357138BF6D}"/>
              </c:ext>
            </c:extLst>
          </c:dPt>
          <c:dPt>
            <c:idx val="7"/>
            <c:bubble3D val="0"/>
            <c:spPr>
              <a:solidFill>
                <a:schemeClr val="accent2">
                  <a:lumMod val="60000"/>
                </a:schemeClr>
              </a:solidFill>
              <a:ln w="19050">
                <a:noFill/>
              </a:ln>
              <a:effectLst/>
            </c:spPr>
            <c:extLst>
              <c:ext xmlns:c16="http://schemas.microsoft.com/office/drawing/2014/chart" uri="{C3380CC4-5D6E-409C-BE32-E72D297353CC}">
                <c16:uniqueId val="{0000000F-3684-4B13-9C2F-AA357138BF6D}"/>
              </c:ext>
            </c:extLst>
          </c:dPt>
          <c:dPt>
            <c:idx val="8"/>
            <c:bubble3D val="0"/>
            <c:spPr>
              <a:solidFill>
                <a:schemeClr val="accent3">
                  <a:lumMod val="60000"/>
                </a:schemeClr>
              </a:solidFill>
              <a:ln w="19050">
                <a:noFill/>
              </a:ln>
              <a:effectLst/>
            </c:spPr>
            <c:extLst>
              <c:ext xmlns:c16="http://schemas.microsoft.com/office/drawing/2014/chart" uri="{C3380CC4-5D6E-409C-BE32-E72D297353CC}">
                <c16:uniqueId val="{00000011-3684-4B13-9C2F-AA357138BF6D}"/>
              </c:ext>
            </c:extLst>
          </c:dPt>
          <c:dPt>
            <c:idx val="9"/>
            <c:bubble3D val="0"/>
            <c:spPr>
              <a:solidFill>
                <a:schemeClr val="accent4">
                  <a:lumMod val="60000"/>
                </a:schemeClr>
              </a:solidFill>
              <a:ln w="19050">
                <a:noFill/>
              </a:ln>
              <a:effectLst/>
            </c:spPr>
            <c:extLst>
              <c:ext xmlns:c16="http://schemas.microsoft.com/office/drawing/2014/chart" uri="{C3380CC4-5D6E-409C-BE32-E72D297353CC}">
                <c16:uniqueId val="{00000013-3684-4B13-9C2F-AA357138BF6D}"/>
              </c:ext>
            </c:extLst>
          </c:dPt>
          <c:dPt>
            <c:idx val="10"/>
            <c:bubble3D val="0"/>
            <c:spPr>
              <a:solidFill>
                <a:schemeClr val="accent5">
                  <a:lumMod val="60000"/>
                </a:schemeClr>
              </a:solidFill>
              <a:ln w="19050">
                <a:noFill/>
              </a:ln>
              <a:effectLst/>
            </c:spPr>
            <c:extLst>
              <c:ext xmlns:c16="http://schemas.microsoft.com/office/drawing/2014/chart" uri="{C3380CC4-5D6E-409C-BE32-E72D297353CC}">
                <c16:uniqueId val="{00000015-3684-4B13-9C2F-AA357138BF6D}"/>
              </c:ext>
            </c:extLst>
          </c:dPt>
          <c:dPt>
            <c:idx val="11"/>
            <c:bubble3D val="0"/>
            <c:spPr>
              <a:solidFill>
                <a:schemeClr val="accent6">
                  <a:lumMod val="60000"/>
                </a:schemeClr>
              </a:solidFill>
              <a:ln w="19050">
                <a:noFill/>
              </a:ln>
              <a:effectLst/>
            </c:spPr>
            <c:extLst>
              <c:ext xmlns:c16="http://schemas.microsoft.com/office/drawing/2014/chart" uri="{C3380CC4-5D6E-409C-BE32-E72D297353CC}">
                <c16:uniqueId val="{00000017-3684-4B13-9C2F-AA357138BF6D}"/>
              </c:ext>
            </c:extLst>
          </c:dPt>
          <c:dPt>
            <c:idx val="12"/>
            <c:bubble3D val="0"/>
            <c:spPr>
              <a:solidFill>
                <a:schemeClr val="accent1">
                  <a:lumMod val="80000"/>
                  <a:lumOff val="20000"/>
                </a:schemeClr>
              </a:solidFill>
              <a:ln w="19050">
                <a:noFill/>
              </a:ln>
              <a:effectLst/>
            </c:spPr>
            <c:extLst>
              <c:ext xmlns:c16="http://schemas.microsoft.com/office/drawing/2014/chart" uri="{C3380CC4-5D6E-409C-BE32-E72D297353CC}">
                <c16:uniqueId val="{00000019-3684-4B13-9C2F-AA357138BF6D}"/>
              </c:ext>
            </c:extLst>
          </c:dPt>
          <c:dPt>
            <c:idx val="13"/>
            <c:bubble3D val="0"/>
            <c:spPr>
              <a:solidFill>
                <a:schemeClr val="accent2">
                  <a:lumMod val="80000"/>
                  <a:lumOff val="20000"/>
                </a:schemeClr>
              </a:solidFill>
              <a:ln w="19050">
                <a:noFill/>
              </a:ln>
              <a:effectLst/>
            </c:spPr>
            <c:extLst>
              <c:ext xmlns:c16="http://schemas.microsoft.com/office/drawing/2014/chart" uri="{C3380CC4-5D6E-409C-BE32-E72D297353CC}">
                <c16:uniqueId val="{0000001B-3684-4B13-9C2F-AA357138BF6D}"/>
              </c:ext>
            </c:extLst>
          </c:dPt>
          <c:dPt>
            <c:idx val="14"/>
            <c:bubble3D val="0"/>
            <c:spPr>
              <a:solidFill>
                <a:schemeClr val="accent3">
                  <a:lumMod val="80000"/>
                  <a:lumOff val="20000"/>
                </a:schemeClr>
              </a:solidFill>
              <a:ln w="19050">
                <a:noFill/>
              </a:ln>
              <a:effectLst/>
            </c:spPr>
            <c:extLst>
              <c:ext xmlns:c16="http://schemas.microsoft.com/office/drawing/2014/chart" uri="{C3380CC4-5D6E-409C-BE32-E72D297353CC}">
                <c16:uniqueId val="{0000001D-3684-4B13-9C2F-AA357138BF6D}"/>
              </c:ext>
            </c:extLst>
          </c:dPt>
          <c:dPt>
            <c:idx val="15"/>
            <c:bubble3D val="0"/>
            <c:spPr>
              <a:solidFill>
                <a:schemeClr val="accent4">
                  <a:lumMod val="80000"/>
                  <a:lumOff val="20000"/>
                </a:schemeClr>
              </a:solidFill>
              <a:ln w="19050">
                <a:noFill/>
              </a:ln>
              <a:effectLst/>
            </c:spPr>
            <c:extLst>
              <c:ext xmlns:c16="http://schemas.microsoft.com/office/drawing/2014/chart" uri="{C3380CC4-5D6E-409C-BE32-E72D297353CC}">
                <c16:uniqueId val="{0000001F-3684-4B13-9C2F-AA357138BF6D}"/>
              </c:ext>
            </c:extLst>
          </c:dPt>
          <c:cat>
            <c:strRef>
              <c:f>'Doughnut Graph'!$A$2:$A$18</c:f>
              <c:strCache>
                <c:ptCount val="16"/>
                <c:pt idx="0">
                  <c:v>Multiline issues</c:v>
                </c:pt>
                <c:pt idx="1">
                  <c:v>Invoice issues</c:v>
                </c:pt>
                <c:pt idx="2">
                  <c:v>App freezing</c:v>
                </c:pt>
                <c:pt idx="3">
                  <c:v>App availability issues</c:v>
                </c:pt>
                <c:pt idx="4">
                  <c:v>Remove phone number from # pool</c:v>
                </c:pt>
                <c:pt idx="5">
                  <c:v>Number port issues</c:v>
                </c:pt>
                <c:pt idx="6">
                  <c:v>phone service</c:v>
                </c:pt>
                <c:pt idx="7">
                  <c:v>VO and PS not linked correctly</c:v>
                </c:pt>
                <c:pt idx="8">
                  <c:v>In app/portal features not working</c:v>
                </c:pt>
                <c:pt idx="9">
                  <c:v>Time Stamp issues</c:v>
                </c:pt>
                <c:pt idx="10">
                  <c:v>Automated Email issues</c:v>
                </c:pt>
                <c:pt idx="11">
                  <c:v>Voicemail Issues</c:v>
                </c:pt>
                <c:pt idx="12">
                  <c:v>Making/Accepting calls</c:v>
                </c:pt>
                <c:pt idx="13">
                  <c:v>waiting on payment</c:v>
                </c:pt>
                <c:pt idx="14">
                  <c:v>Stuck in Waiting on Payment status</c:v>
                </c:pt>
                <c:pt idx="15">
                  <c:v>Issues loading text/call logs/voicemails</c:v>
                </c:pt>
              </c:strCache>
            </c:strRef>
          </c:cat>
          <c:val>
            <c:numRef>
              <c:f>'Doughnut Graph'!$B$2:$B$18</c:f>
              <c:numCache>
                <c:formatCode>General</c:formatCode>
                <c:ptCount val="16"/>
                <c:pt idx="0">
                  <c:v>85</c:v>
                </c:pt>
                <c:pt idx="1">
                  <c:v>76</c:v>
                </c:pt>
                <c:pt idx="2">
                  <c:v>71</c:v>
                </c:pt>
                <c:pt idx="3">
                  <c:v>69</c:v>
                </c:pt>
                <c:pt idx="4">
                  <c:v>68</c:v>
                </c:pt>
                <c:pt idx="5">
                  <c:v>66</c:v>
                </c:pt>
                <c:pt idx="6">
                  <c:v>63</c:v>
                </c:pt>
                <c:pt idx="7">
                  <c:v>62</c:v>
                </c:pt>
                <c:pt idx="8">
                  <c:v>61</c:v>
                </c:pt>
                <c:pt idx="9">
                  <c:v>57</c:v>
                </c:pt>
                <c:pt idx="10">
                  <c:v>56</c:v>
                </c:pt>
                <c:pt idx="11">
                  <c:v>55</c:v>
                </c:pt>
                <c:pt idx="12">
                  <c:v>54</c:v>
                </c:pt>
                <c:pt idx="13">
                  <c:v>54</c:v>
                </c:pt>
                <c:pt idx="14">
                  <c:v>52</c:v>
                </c:pt>
                <c:pt idx="15">
                  <c:v>51</c:v>
                </c:pt>
              </c:numCache>
            </c:numRef>
          </c:val>
          <c:extLst>
            <c:ext xmlns:c16="http://schemas.microsoft.com/office/drawing/2014/chart" uri="{C3380CC4-5D6E-409C-BE32-E72D297353CC}">
              <c16:uniqueId val="{00000000-DB1B-4652-9E38-9A65AC4DCAD7}"/>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548640</xdr:colOff>
      <xdr:row>23</xdr:row>
      <xdr:rowOff>0</xdr:rowOff>
    </xdr:from>
    <xdr:to>
      <xdr:col>7</xdr:col>
      <xdr:colOff>182880</xdr:colOff>
      <xdr:row>28</xdr:row>
      <xdr:rowOff>38100</xdr:rowOff>
    </xdr:to>
    <xdr:sp macro="[0]!ClearData" textlink="">
      <xdr:nvSpPr>
        <xdr:cNvPr id="3" name="Rectangle: Rounded Corners 2">
          <a:extLst>
            <a:ext uri="{FF2B5EF4-FFF2-40B4-BE49-F238E27FC236}">
              <a16:creationId xmlns:a16="http://schemas.microsoft.com/office/drawing/2014/main" id="{78EC14A6-AA72-2F20-5960-47D472B4915D}"/>
            </a:ext>
          </a:extLst>
        </xdr:cNvPr>
        <xdr:cNvSpPr/>
      </xdr:nvSpPr>
      <xdr:spPr>
        <a:xfrm>
          <a:off x="2377440" y="4206240"/>
          <a:ext cx="2072640" cy="95250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Clear</a:t>
          </a:r>
          <a:r>
            <a:rPr lang="en-US" sz="3200" b="1" cap="none" spc="0">
              <a:ln w="22225">
                <a:noFill/>
                <a:prstDash val="solid"/>
              </a:ln>
              <a:solidFill>
                <a:schemeClr val="tx2"/>
              </a:solidFill>
              <a:effectLst/>
            </a:rPr>
            <a:t> </a:t>
          </a:r>
          <a:r>
            <a:rPr lang="en-US" sz="3200" b="1" cap="none" spc="0">
              <a:ln w="22225">
                <a:noFill/>
                <a:prstDash val="solid"/>
              </a:ln>
              <a:solidFill>
                <a:schemeClr val="tx1"/>
              </a:solidFill>
              <a:effectLst/>
            </a:rPr>
            <a:t>Data</a:t>
          </a:r>
        </a:p>
      </xdr:txBody>
    </xdr:sp>
    <xdr:clientData/>
  </xdr:twoCellAnchor>
  <xdr:twoCellAnchor>
    <xdr:from>
      <xdr:col>0</xdr:col>
      <xdr:colOff>388620</xdr:colOff>
      <xdr:row>2</xdr:row>
      <xdr:rowOff>30480</xdr:rowOff>
    </xdr:from>
    <xdr:to>
      <xdr:col>20</xdr:col>
      <xdr:colOff>22860</xdr:colOff>
      <xdr:row>22</xdr:row>
      <xdr:rowOff>121920</xdr:rowOff>
    </xdr:to>
    <xdr:sp macro="" textlink="">
      <xdr:nvSpPr>
        <xdr:cNvPr id="4" name="TextBox 3">
          <a:extLst>
            <a:ext uri="{FF2B5EF4-FFF2-40B4-BE49-F238E27FC236}">
              <a16:creationId xmlns:a16="http://schemas.microsoft.com/office/drawing/2014/main" id="{F39C70F5-40D3-B7DA-C3DE-D415C6E87FB0}"/>
            </a:ext>
          </a:extLst>
        </xdr:cNvPr>
        <xdr:cNvSpPr txBox="1"/>
      </xdr:nvSpPr>
      <xdr:spPr>
        <a:xfrm>
          <a:off x="388620" y="396240"/>
          <a:ext cx="11826240" cy="3749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u="sng"/>
            <a:t>3 Easy</a:t>
          </a:r>
          <a:r>
            <a:rPr lang="en-US" sz="3600" b="1" u="sng" baseline="0"/>
            <a:t> steps for Beautiful Charts:</a:t>
          </a:r>
        </a:p>
        <a:p>
          <a:r>
            <a:rPr lang="en-US" sz="3600" baseline="0"/>
            <a:t>1. Press the "Clear Data" button.</a:t>
          </a:r>
        </a:p>
        <a:p>
          <a:r>
            <a:rPr lang="en-US" sz="3600" baseline="0"/>
            <a:t>2. Open the Report from Zammad, select all, and copy. Go to the Report Data sheet in this Workbook and paste.</a:t>
          </a:r>
        </a:p>
        <a:p>
          <a:r>
            <a:rPr lang="en-US" sz="3600" baseline="0"/>
            <a:t>3. Press the "Process My Data" button, then go look at the Beautiful Charts!</a:t>
          </a:r>
          <a:endParaRPr lang="en-US" sz="3600"/>
        </a:p>
      </xdr:txBody>
    </xdr:sp>
    <xdr:clientData/>
  </xdr:twoCellAnchor>
  <xdr:twoCellAnchor>
    <xdr:from>
      <xdr:col>9</xdr:col>
      <xdr:colOff>594360</xdr:colOff>
      <xdr:row>22</xdr:row>
      <xdr:rowOff>175260</xdr:rowOff>
    </xdr:from>
    <xdr:to>
      <xdr:col>15</xdr:col>
      <xdr:colOff>60960</xdr:colOff>
      <xdr:row>28</xdr:row>
      <xdr:rowOff>38100</xdr:rowOff>
    </xdr:to>
    <xdr:sp macro="[0]!ProcessMyData" textlink="">
      <xdr:nvSpPr>
        <xdr:cNvPr id="5" name="Rectangle: Rounded Corners 4">
          <a:extLst>
            <a:ext uri="{FF2B5EF4-FFF2-40B4-BE49-F238E27FC236}">
              <a16:creationId xmlns:a16="http://schemas.microsoft.com/office/drawing/2014/main" id="{977902C3-2718-BF63-FCA7-1D204BFF570B}"/>
            </a:ext>
          </a:extLst>
        </xdr:cNvPr>
        <xdr:cNvSpPr/>
      </xdr:nvSpPr>
      <xdr:spPr>
        <a:xfrm>
          <a:off x="6080760" y="4198620"/>
          <a:ext cx="3124200" cy="96012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Process</a:t>
          </a:r>
          <a:r>
            <a:rPr lang="en-US" sz="3200" b="1" cap="none" spc="0" baseline="0">
              <a:ln w="22225">
                <a:noFill/>
                <a:prstDash val="solid"/>
              </a:ln>
              <a:solidFill>
                <a:schemeClr val="tx1"/>
              </a:solidFill>
              <a:effectLst/>
            </a:rPr>
            <a:t> My Data</a:t>
          </a:r>
          <a:endParaRPr lang="en-US" sz="3200" b="1" cap="none" spc="0">
            <a:ln w="22225">
              <a:noFill/>
              <a:prstDash val="solid"/>
            </a:ln>
            <a:solidFill>
              <a:schemeClr val="tx1"/>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137160</xdr:colOff>
      <xdr:row>0</xdr:row>
      <xdr:rowOff>137160</xdr:rowOff>
    </xdr:from>
    <xdr:to>
      <xdr:col>10</xdr:col>
      <xdr:colOff>114300</xdr:colOff>
      <xdr:row>19</xdr:row>
      <xdr:rowOff>175260</xdr:rowOff>
    </xdr:to>
    <xdr:graphicFrame macro="">
      <xdr:nvGraphicFramePr>
        <xdr:cNvPr id="15" name="Chart 14">
          <a:extLst>
            <a:ext uri="{FF2B5EF4-FFF2-40B4-BE49-F238E27FC236}">
              <a16:creationId xmlns:a16="http://schemas.microsoft.com/office/drawing/2014/main" id="{8A2FBA30-A517-4B6D-A446-8D58C6E285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289560</xdr:colOff>
      <xdr:row>0</xdr:row>
      <xdr:rowOff>137160</xdr:rowOff>
    </xdr:from>
    <xdr:to>
      <xdr:col>24</xdr:col>
      <xdr:colOff>243840</xdr:colOff>
      <xdr:row>19</xdr:row>
      <xdr:rowOff>159057</xdr:rowOff>
    </xdr:to>
    <xdr:graphicFrame macro="">
      <xdr:nvGraphicFramePr>
        <xdr:cNvPr id="10" name="Chart 9">
          <a:extLst>
            <a:ext uri="{FF2B5EF4-FFF2-40B4-BE49-F238E27FC236}">
              <a16:creationId xmlns:a16="http://schemas.microsoft.com/office/drawing/2014/main" id="{DBE2B02A-E0F2-4526-98F4-8ABD4D8D55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137160</xdr:colOff>
      <xdr:row>23</xdr:row>
      <xdr:rowOff>106680</xdr:rowOff>
    </xdr:from>
    <xdr:to>
      <xdr:col>6</xdr:col>
      <xdr:colOff>571500</xdr:colOff>
      <xdr:row>35</xdr:row>
      <xdr:rowOff>137160</xdr:rowOff>
    </xdr:to>
    <xdr:sp macro="" textlink="">
      <xdr:nvSpPr>
        <xdr:cNvPr id="12" name="Rectangle: Rounded Corners 11">
          <a:extLst>
            <a:ext uri="{FF2B5EF4-FFF2-40B4-BE49-F238E27FC236}">
              <a16:creationId xmlns:a16="http://schemas.microsoft.com/office/drawing/2014/main" id="{E4EC5D32-D258-A456-BED8-0156A2322D1B}"/>
            </a:ext>
          </a:extLst>
        </xdr:cNvPr>
        <xdr:cNvSpPr/>
      </xdr:nvSpPr>
      <xdr:spPr>
        <a:xfrm>
          <a:off x="137160" y="431292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579120</xdr:colOff>
      <xdr:row>26</xdr:row>
      <xdr:rowOff>152401</xdr:rowOff>
    </xdr:from>
    <xdr:to>
      <xdr:col>4</xdr:col>
      <xdr:colOff>495300</xdr:colOff>
      <xdr:row>33</xdr:row>
      <xdr:rowOff>45720</xdr:rowOff>
    </xdr:to>
    <mc:AlternateContent xmlns:mc="http://schemas.openxmlformats.org/markup-compatibility/2006" xmlns:a14="http://schemas.microsoft.com/office/drawing/2010/main">
      <mc:Choice Requires="a14">
        <xdr:graphicFrame macro="">
          <xdr:nvGraphicFramePr>
            <xdr:cNvPr id="4" name="Priority">
              <a:extLst>
                <a:ext uri="{FF2B5EF4-FFF2-40B4-BE49-F238E27FC236}">
                  <a16:creationId xmlns:a16="http://schemas.microsoft.com/office/drawing/2014/main" id="{D9384C93-8E48-1821-76C6-0D732822F1BD}"/>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1798320" y="4907281"/>
              <a:ext cx="113538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266700</xdr:colOff>
      <xdr:row>26</xdr:row>
      <xdr:rowOff>152401</xdr:rowOff>
    </xdr:from>
    <xdr:to>
      <xdr:col>2</xdr:col>
      <xdr:colOff>502920</xdr:colOff>
      <xdr:row>34</xdr:row>
      <xdr:rowOff>129540</xdr:rowOff>
    </xdr:to>
    <mc:AlternateContent xmlns:mc="http://schemas.openxmlformats.org/markup-compatibility/2006" xmlns:a14="http://schemas.microsoft.com/office/drawing/2010/main">
      <mc:Choice Requires="a14">
        <xdr:graphicFrame macro="">
          <xdr:nvGraphicFramePr>
            <xdr:cNvPr id="11" name="Customer">
              <a:extLst>
                <a:ext uri="{FF2B5EF4-FFF2-40B4-BE49-F238E27FC236}">
                  <a16:creationId xmlns:a16="http://schemas.microsoft.com/office/drawing/2014/main" id="{28BC6FE6-F48E-54B8-8CE9-7891FCD9B374}"/>
                </a:ext>
              </a:extLst>
            </xdr:cNvP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266700" y="4907281"/>
              <a:ext cx="1455420" cy="1440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4</xdr:col>
      <xdr:colOff>579120</xdr:colOff>
      <xdr:row>26</xdr:row>
      <xdr:rowOff>152401</xdr:rowOff>
    </xdr:from>
    <xdr:to>
      <xdr:col>6</xdr:col>
      <xdr:colOff>426720</xdr:colOff>
      <xdr:row>33</xdr:row>
      <xdr:rowOff>45720</xdr:rowOff>
    </xdr:to>
    <mc:AlternateContent xmlns:mc="http://schemas.openxmlformats.org/markup-compatibility/2006" xmlns:a14="http://schemas.microsoft.com/office/drawing/2010/main">
      <mc:Choice Requires="a14">
        <xdr:graphicFrame macro="">
          <xdr:nvGraphicFramePr>
            <xdr:cNvPr id="3" name="State">
              <a:extLst>
                <a:ext uri="{FF2B5EF4-FFF2-40B4-BE49-F238E27FC236}">
                  <a16:creationId xmlns:a16="http://schemas.microsoft.com/office/drawing/2014/main" id="{14580BAC-DD47-5D49-4A66-5C2DBC464838}"/>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3017520" y="4907281"/>
              <a:ext cx="106680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297180</xdr:colOff>
      <xdr:row>24</xdr:row>
      <xdr:rowOff>15240</xdr:rowOff>
    </xdr:from>
    <xdr:to>
      <xdr:col>4</xdr:col>
      <xdr:colOff>502920</xdr:colOff>
      <xdr:row>26</xdr:row>
      <xdr:rowOff>68580</xdr:rowOff>
    </xdr:to>
    <xdr:sp macro="" textlink="">
      <xdr:nvSpPr>
        <xdr:cNvPr id="13" name="TextBox 12">
          <a:extLst>
            <a:ext uri="{FF2B5EF4-FFF2-40B4-BE49-F238E27FC236}">
              <a16:creationId xmlns:a16="http://schemas.microsoft.com/office/drawing/2014/main" id="{C182F880-F96D-F428-A08F-4796F1E2AE2B}"/>
            </a:ext>
          </a:extLst>
        </xdr:cNvPr>
        <xdr:cNvSpPr txBox="1"/>
      </xdr:nvSpPr>
      <xdr:spPr>
        <a:xfrm>
          <a:off x="1516380" y="4404360"/>
          <a:ext cx="1424940" cy="419100"/>
        </a:xfrm>
        <a:prstGeom prst="rect">
          <a:avLst/>
        </a:prstGeom>
        <a:solidFill>
          <a:schemeClr val="lt1">
            <a:alpha val="60000"/>
          </a:schemeClr>
        </a:solidFill>
        <a:ln w="9525" cmpd="sng">
          <a:no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Tickets</a:t>
          </a:r>
        </a:p>
      </xdr:txBody>
    </xdr:sp>
    <xdr:clientData/>
  </xdr:twoCellAnchor>
  <xdr:twoCellAnchor>
    <xdr:from>
      <xdr:col>7</xdr:col>
      <xdr:colOff>281940</xdr:colOff>
      <xdr:row>23</xdr:row>
      <xdr:rowOff>106680</xdr:rowOff>
    </xdr:from>
    <xdr:to>
      <xdr:col>14</xdr:col>
      <xdr:colOff>106680</xdr:colOff>
      <xdr:row>35</xdr:row>
      <xdr:rowOff>137160</xdr:rowOff>
    </xdr:to>
    <xdr:sp macro="" textlink="">
      <xdr:nvSpPr>
        <xdr:cNvPr id="14" name="Rectangle: Rounded Corners 13">
          <a:extLst>
            <a:ext uri="{FF2B5EF4-FFF2-40B4-BE49-F238E27FC236}">
              <a16:creationId xmlns:a16="http://schemas.microsoft.com/office/drawing/2014/main" id="{01085766-3325-667A-6FC7-3AE29C1AB0D0}"/>
            </a:ext>
          </a:extLst>
        </xdr:cNvPr>
        <xdr:cNvSpPr/>
      </xdr:nvSpPr>
      <xdr:spPr>
        <a:xfrm>
          <a:off x="4549140" y="431292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426720</xdr:colOff>
      <xdr:row>26</xdr:row>
      <xdr:rowOff>76201</xdr:rowOff>
    </xdr:from>
    <xdr:to>
      <xdr:col>9</xdr:col>
      <xdr:colOff>426720</xdr:colOff>
      <xdr:row>34</xdr:row>
      <xdr:rowOff>114301</xdr:rowOff>
    </xdr:to>
    <mc:AlternateContent xmlns:mc="http://schemas.openxmlformats.org/markup-compatibility/2006" xmlns:a14="http://schemas.microsoft.com/office/drawing/2010/main">
      <mc:Choice Requires="a14">
        <xdr:graphicFrame macro="">
          <xdr:nvGraphicFramePr>
            <xdr:cNvPr id="6" name="Tag 1">
              <a:extLst>
                <a:ext uri="{FF2B5EF4-FFF2-40B4-BE49-F238E27FC236}">
                  <a16:creationId xmlns:a16="http://schemas.microsoft.com/office/drawing/2014/main" id="{F6C2FC2D-45B8-40D9-0F2B-F51DC0C8F091}"/>
                </a:ext>
              </a:extLst>
            </xdr:cNvPr>
            <xdr:cNvGraphicFramePr/>
          </xdr:nvGraphicFramePr>
          <xdr:xfrm>
            <a:off x="0" y="0"/>
            <a:ext cx="0" cy="0"/>
          </xdr:xfrm>
          <a:graphic>
            <a:graphicData uri="http://schemas.microsoft.com/office/drawing/2010/slicer">
              <sle:slicer xmlns:sle="http://schemas.microsoft.com/office/drawing/2010/slicer" name="Tag 1"/>
            </a:graphicData>
          </a:graphic>
        </xdr:graphicFrame>
      </mc:Choice>
      <mc:Fallback xmlns="">
        <xdr:sp macro="" textlink="">
          <xdr:nvSpPr>
            <xdr:cNvPr id="0" name=""/>
            <xdr:cNvSpPr>
              <a:spLocks noTextEdit="1"/>
            </xdr:cNvSpPr>
          </xdr:nvSpPr>
          <xdr:spPr>
            <a:xfrm>
              <a:off x="4693920" y="4831081"/>
              <a:ext cx="1219200" cy="15011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487680</xdr:colOff>
      <xdr:row>26</xdr:row>
      <xdr:rowOff>83821</xdr:rowOff>
    </xdr:from>
    <xdr:to>
      <xdr:col>13</xdr:col>
      <xdr:colOff>563880</xdr:colOff>
      <xdr:row>34</xdr:row>
      <xdr:rowOff>114300</xdr:rowOff>
    </xdr:to>
    <mc:AlternateContent xmlns:mc="http://schemas.openxmlformats.org/markup-compatibility/2006" xmlns:a14="http://schemas.microsoft.com/office/drawing/2010/main">
      <mc:Choice Requires="a14">
        <xdr:graphicFrame macro="">
          <xdr:nvGraphicFramePr>
            <xdr:cNvPr id="7" name="Tag 2">
              <a:extLst>
                <a:ext uri="{FF2B5EF4-FFF2-40B4-BE49-F238E27FC236}">
                  <a16:creationId xmlns:a16="http://schemas.microsoft.com/office/drawing/2014/main" id="{7B180948-2231-70DA-A9E0-233528C798D6}"/>
                </a:ext>
              </a:extLst>
            </xdr:cNvPr>
            <xdr:cNvGraphicFramePr/>
          </xdr:nvGraphicFramePr>
          <xdr:xfrm>
            <a:off x="0" y="0"/>
            <a:ext cx="0" cy="0"/>
          </xdr:xfrm>
          <a:graphic>
            <a:graphicData uri="http://schemas.microsoft.com/office/drawing/2010/slicer">
              <sle:slicer xmlns:sle="http://schemas.microsoft.com/office/drawing/2010/slicer" name="Tag 2"/>
            </a:graphicData>
          </a:graphic>
        </xdr:graphicFrame>
      </mc:Choice>
      <mc:Fallback xmlns="">
        <xdr:sp macro="" textlink="">
          <xdr:nvSpPr>
            <xdr:cNvPr id="0" name=""/>
            <xdr:cNvSpPr>
              <a:spLocks noTextEdit="1"/>
            </xdr:cNvSpPr>
          </xdr:nvSpPr>
          <xdr:spPr>
            <a:xfrm>
              <a:off x="5974080" y="4838701"/>
              <a:ext cx="2514600" cy="14935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472440</xdr:colOff>
      <xdr:row>23</xdr:row>
      <xdr:rowOff>160020</xdr:rowOff>
    </xdr:from>
    <xdr:to>
      <xdr:col>11</xdr:col>
      <xdr:colOff>556260</xdr:colOff>
      <xdr:row>26</xdr:row>
      <xdr:rowOff>30480</xdr:rowOff>
    </xdr:to>
    <xdr:sp macro="" textlink="">
      <xdr:nvSpPr>
        <xdr:cNvPr id="16" name="TextBox 15">
          <a:extLst>
            <a:ext uri="{FF2B5EF4-FFF2-40B4-BE49-F238E27FC236}">
              <a16:creationId xmlns:a16="http://schemas.microsoft.com/office/drawing/2014/main" id="{464875A2-A310-74B5-D567-A3991A9CC180}"/>
            </a:ext>
          </a:extLst>
        </xdr:cNvPr>
        <xdr:cNvSpPr txBox="1"/>
      </xdr:nvSpPr>
      <xdr:spPr>
        <a:xfrm>
          <a:off x="5958840" y="436626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Issues</a:t>
          </a:r>
        </a:p>
      </xdr:txBody>
    </xdr:sp>
    <xdr:clientData/>
  </xdr:twoCellAnchor>
  <xdr:twoCellAnchor>
    <xdr:from>
      <xdr:col>14</xdr:col>
      <xdr:colOff>426720</xdr:colOff>
      <xdr:row>23</xdr:row>
      <xdr:rowOff>137160</xdr:rowOff>
    </xdr:from>
    <xdr:to>
      <xdr:col>21</xdr:col>
      <xdr:colOff>251460</xdr:colOff>
      <xdr:row>35</xdr:row>
      <xdr:rowOff>167640</xdr:rowOff>
    </xdr:to>
    <xdr:sp macro="" textlink="">
      <xdr:nvSpPr>
        <xdr:cNvPr id="17" name="Rectangle: Rounded Corners 16">
          <a:extLst>
            <a:ext uri="{FF2B5EF4-FFF2-40B4-BE49-F238E27FC236}">
              <a16:creationId xmlns:a16="http://schemas.microsoft.com/office/drawing/2014/main" id="{FC52EF85-BF67-6DED-5B1E-17F1B45A49AA}"/>
            </a:ext>
          </a:extLst>
        </xdr:cNvPr>
        <xdr:cNvSpPr/>
      </xdr:nvSpPr>
      <xdr:spPr>
        <a:xfrm>
          <a:off x="8961120" y="434340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17</xdr:col>
      <xdr:colOff>53340</xdr:colOff>
      <xdr:row>24</xdr:row>
      <xdr:rowOff>7620</xdr:rowOff>
    </xdr:from>
    <xdr:to>
      <xdr:col>19</xdr:col>
      <xdr:colOff>137160</xdr:colOff>
      <xdr:row>26</xdr:row>
      <xdr:rowOff>60960</xdr:rowOff>
    </xdr:to>
    <xdr:sp macro="" textlink="">
      <xdr:nvSpPr>
        <xdr:cNvPr id="5" name="TextBox 4">
          <a:extLst>
            <a:ext uri="{FF2B5EF4-FFF2-40B4-BE49-F238E27FC236}">
              <a16:creationId xmlns:a16="http://schemas.microsoft.com/office/drawing/2014/main" id="{6A558250-F45F-2889-C80E-3F9BB5A34F09}"/>
            </a:ext>
          </a:extLst>
        </xdr:cNvPr>
        <xdr:cNvSpPr txBox="1"/>
      </xdr:nvSpPr>
      <xdr:spPr>
        <a:xfrm>
          <a:off x="10416540" y="439674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Range</a:t>
          </a:r>
        </a:p>
      </xdr:txBody>
    </xdr:sp>
    <xdr:clientData fLocksWithSheet="0"/>
  </xdr:twoCellAnchor>
  <xdr:twoCellAnchor>
    <xdr:from>
      <xdr:col>14</xdr:col>
      <xdr:colOff>586740</xdr:colOff>
      <xdr:row>26</xdr:row>
      <xdr:rowOff>129541</xdr:rowOff>
    </xdr:from>
    <xdr:to>
      <xdr:col>16</xdr:col>
      <xdr:colOff>541020</xdr:colOff>
      <xdr:row>34</xdr:row>
      <xdr:rowOff>121920</xdr:rowOff>
    </xdr:to>
    <mc:AlternateContent xmlns:mc="http://schemas.openxmlformats.org/markup-compatibility/2006" xmlns:a14="http://schemas.microsoft.com/office/drawing/2010/main">
      <mc:Choice Requires="a14">
        <xdr:graphicFrame macro="">
          <xdr:nvGraphicFramePr>
            <xdr:cNvPr id="9" name="Quarter">
              <a:extLst>
                <a:ext uri="{FF2B5EF4-FFF2-40B4-BE49-F238E27FC236}">
                  <a16:creationId xmlns:a16="http://schemas.microsoft.com/office/drawing/2014/main" id="{862107AB-4A86-5FAA-102E-CEC7DC83190E}"/>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9121140" y="4884421"/>
              <a:ext cx="1173480" cy="1455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16</xdr:col>
      <xdr:colOff>594360</xdr:colOff>
      <xdr:row>26</xdr:row>
      <xdr:rowOff>129541</xdr:rowOff>
    </xdr:from>
    <xdr:to>
      <xdr:col>21</xdr:col>
      <xdr:colOff>99060</xdr:colOff>
      <xdr:row>34</xdr:row>
      <xdr:rowOff>114301</xdr:rowOff>
    </xdr:to>
    <mc:AlternateContent xmlns:mc="http://schemas.openxmlformats.org/markup-compatibility/2006" xmlns:a14="http://schemas.microsoft.com/office/drawing/2010/main">
      <mc:Choice Requires="a14">
        <xdr:graphicFrame macro="">
          <xdr:nvGraphicFramePr>
            <xdr:cNvPr id="8" name="Month">
              <a:extLst>
                <a:ext uri="{FF2B5EF4-FFF2-40B4-BE49-F238E27FC236}">
                  <a16:creationId xmlns:a16="http://schemas.microsoft.com/office/drawing/2014/main" id="{2349BAE9-FE92-C54A-4AB9-389CDAC7DB5C}"/>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0347960" y="4884421"/>
              <a:ext cx="255270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3</xdr:col>
      <xdr:colOff>91440</xdr:colOff>
      <xdr:row>20</xdr:row>
      <xdr:rowOff>137160</xdr:rowOff>
    </xdr:from>
    <xdr:to>
      <xdr:col>7</xdr:col>
      <xdr:colOff>556260</xdr:colOff>
      <xdr:row>22</xdr:row>
      <xdr:rowOff>167640</xdr:rowOff>
    </xdr:to>
    <xdr:sp macro="" textlink="'Doughnut Graph'!A26">
      <xdr:nvSpPr>
        <xdr:cNvPr id="20" name="TextBox 19">
          <a:extLst>
            <a:ext uri="{FF2B5EF4-FFF2-40B4-BE49-F238E27FC236}">
              <a16:creationId xmlns:a16="http://schemas.microsoft.com/office/drawing/2014/main" id="{28A0F4E1-4852-8B00-D7C0-E08CB5AC60E3}"/>
            </a:ext>
          </a:extLst>
        </xdr:cNvPr>
        <xdr:cNvSpPr txBox="1"/>
      </xdr:nvSpPr>
      <xdr:spPr>
        <a:xfrm>
          <a:off x="19202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3213E22-A3B8-4326-B795-81EC4AC77235}"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Android tickets: 0</a:t>
          </a:fld>
          <a:endParaRPr lang="en-US" sz="1600">
            <a:ln>
              <a:solidFill>
                <a:schemeClr val="lt1">
                  <a:shade val="50000"/>
                </a:schemeClr>
              </a:solidFill>
            </a:ln>
            <a:effectLst>
              <a:innerShdw blurRad="63500" dist="50800" dir="10800000">
                <a:prstClr val="black">
                  <a:alpha val="50000"/>
                </a:prstClr>
              </a:innerShdw>
            </a:effectLst>
          </a:endParaRPr>
        </a:p>
      </xdr:txBody>
    </xdr:sp>
    <xdr:clientData/>
  </xdr:twoCellAnchor>
  <xdr:twoCellAnchor>
    <xdr:from>
      <xdr:col>8</xdr:col>
      <xdr:colOff>396240</xdr:colOff>
      <xdr:row>20</xdr:row>
      <xdr:rowOff>137160</xdr:rowOff>
    </xdr:from>
    <xdr:to>
      <xdr:col>13</xdr:col>
      <xdr:colOff>251460</xdr:colOff>
      <xdr:row>22</xdr:row>
      <xdr:rowOff>167640</xdr:rowOff>
    </xdr:to>
    <xdr:sp macro="" textlink="'Doughnut Graph'!A27">
      <xdr:nvSpPr>
        <xdr:cNvPr id="21" name="TextBox 20">
          <a:extLst>
            <a:ext uri="{FF2B5EF4-FFF2-40B4-BE49-F238E27FC236}">
              <a16:creationId xmlns:a16="http://schemas.microsoft.com/office/drawing/2014/main" id="{3E666CB8-3FEB-8753-EC76-45E324B3B898}"/>
            </a:ext>
          </a:extLst>
        </xdr:cNvPr>
        <xdr:cNvSpPr txBox="1"/>
      </xdr:nvSpPr>
      <xdr:spPr>
        <a:xfrm>
          <a:off x="52730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95D7152-B695-4B9B-AB2D-8AF63357A519}"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iOS tickets: 0</a:t>
          </a:fld>
          <a:endParaRPr lang="en-US" sz="2400">
            <a:ln>
              <a:solidFill>
                <a:schemeClr val="lt1">
                  <a:shade val="50000"/>
                </a:schemeClr>
              </a:solidFill>
            </a:ln>
            <a:effectLst>
              <a:innerShdw blurRad="63500" dist="50800" dir="10800000">
                <a:prstClr val="black">
                  <a:alpha val="50000"/>
                </a:prstClr>
              </a:innerShdw>
            </a:effectLst>
          </a:endParaRPr>
        </a:p>
      </xdr:txBody>
    </xdr:sp>
    <xdr:clientData/>
  </xdr:twoCellAnchor>
  <xdr:twoCellAnchor>
    <xdr:from>
      <xdr:col>14</xdr:col>
      <xdr:colOff>91440</xdr:colOff>
      <xdr:row>20</xdr:row>
      <xdr:rowOff>137160</xdr:rowOff>
    </xdr:from>
    <xdr:to>
      <xdr:col>18</xdr:col>
      <xdr:colOff>556260</xdr:colOff>
      <xdr:row>22</xdr:row>
      <xdr:rowOff>167640</xdr:rowOff>
    </xdr:to>
    <xdr:sp macro="" textlink="'Doughnut Graph'!A28">
      <xdr:nvSpPr>
        <xdr:cNvPr id="22" name="TextBox 21">
          <a:extLst>
            <a:ext uri="{FF2B5EF4-FFF2-40B4-BE49-F238E27FC236}">
              <a16:creationId xmlns:a16="http://schemas.microsoft.com/office/drawing/2014/main" id="{6446E05A-1B6B-5B42-9509-8D1DBE76ED53}"/>
            </a:ext>
          </a:extLst>
        </xdr:cNvPr>
        <xdr:cNvSpPr txBox="1"/>
      </xdr:nvSpPr>
      <xdr:spPr>
        <a:xfrm>
          <a:off x="86258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FC0215F-9D71-42D5-87FB-313D54BF160B}"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Client Portal tickets: 0</a:t>
          </a:fld>
          <a:endParaRPr lang="en-US" sz="2400">
            <a:ln>
              <a:solidFill>
                <a:schemeClr val="lt1">
                  <a:shade val="50000"/>
                </a:schemeClr>
              </a:solidFill>
            </a:ln>
            <a:effectLst>
              <a:innerShdw blurRad="63500" dist="50800" dir="10800000">
                <a:prstClr val="black">
                  <a:alpha val="50000"/>
                </a:prstClr>
              </a:innerShdw>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335280</xdr:colOff>
      <xdr:row>0</xdr:row>
      <xdr:rowOff>167640</xdr:rowOff>
    </xdr:from>
    <xdr:to>
      <xdr:col>11</xdr:col>
      <xdr:colOff>563880</xdr:colOff>
      <xdr:row>22</xdr:row>
      <xdr:rowOff>152400</xdr:rowOff>
    </xdr:to>
    <xdr:graphicFrame macro="">
      <xdr:nvGraphicFramePr>
        <xdr:cNvPr id="3" name="Chart 2">
          <a:extLst>
            <a:ext uri="{FF2B5EF4-FFF2-40B4-BE49-F238E27FC236}">
              <a16:creationId xmlns:a16="http://schemas.microsoft.com/office/drawing/2014/main" id="{728CCBF5-F068-0258-88FE-4CFFBE6F93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mudge" refreshedDate="45330.827438425928" createdVersion="8" refreshedVersion="8" minRefreshableVersion="3" recordCount="1000" xr:uid="{BD909CCC-4036-42A6-B130-E1034C601238}">
  <cacheSource type="worksheet">
    <worksheetSource name="ReportData"/>
  </cacheSource>
  <cacheFields count="19">
    <cacheField name="#" numFmtId="0">
      <sharedItems containsSemiMixedTypes="0" containsString="0" containsNumber="1" containsInteger="1" minValue="2000499" maxValue="2999396"/>
    </cacheField>
    <cacheField name="Title" numFmtId="0">
      <sharedItems containsNonDate="0" containsString="0" containsBlank="1"/>
    </cacheField>
    <cacheField name="State" numFmtId="0">
      <sharedItems containsBlank="1" count="4">
        <s v="new"/>
        <s v="closed"/>
        <s v="open"/>
        <m u="1"/>
      </sharedItems>
    </cacheField>
    <cacheField name="Priority" numFmtId="0">
      <sharedItems containsBlank="1" count="4">
        <s v="3 high"/>
        <s v="2 normal"/>
        <s v="1 low"/>
        <m u="1"/>
      </sharedItems>
    </cacheField>
    <cacheField name="Group" numFmtId="0">
      <sharedItems/>
    </cacheField>
    <cacheField name="Owner" numFmtId="0">
      <sharedItems/>
    </cacheField>
    <cacheField name="Customer" numFmtId="0">
      <sharedItems containsBlank="1" count="5">
        <s v="James"/>
        <s v="Luke"/>
        <s v="Smudge"/>
        <s v="Richard"/>
        <m u="1"/>
      </sharedItems>
    </cacheField>
    <cacheField name="Organization" numFmtId="0">
      <sharedItems/>
    </cacheField>
    <cacheField name="Create Channel" numFmtId="0">
      <sharedItems/>
    </cacheField>
    <cacheField name="Sender" numFmtId="0">
      <sharedItems/>
    </cacheField>
    <cacheField name="Tag 1" numFmtId="0">
      <sharedItems containsBlank="1" count="6">
        <s v="iOS"/>
        <s v="Web"/>
        <s v="General"/>
        <s v="Android"/>
        <m u="1"/>
        <s v="Primary tag - iOS,Secondary tag - Waiting on Payment" u="1"/>
      </sharedItems>
    </cacheField>
    <cacheField name="Tag 2" numFmtId="0">
      <sharedItems containsBlank="1" count="21">
        <s v="Stuck in Waiting on Payment status"/>
        <s v="Number port issues"/>
        <s v="Automated Email issues"/>
        <s v="waiting on payment"/>
        <s v="Invoice issues"/>
        <s v="Issues loading text/call logs/voicemails"/>
        <s v="App availability issues"/>
        <s v="Time Stamp issues"/>
        <s v="In app/portal features not working"/>
        <s v="App freezing"/>
        <s v="VO and PS not linked correctly"/>
        <s v="Voicemail Issues"/>
        <s v="phone service"/>
        <s v="Multiline issues"/>
        <s v="Remove phone number from # pool"/>
        <s v="Making/Accepting calls"/>
        <m u="1"/>
        <s v="Call Quality" u="1"/>
        <s v="Voicemail" u="1"/>
        <s v="App Issue" u="1"/>
        <s v="VO Bundle" u="1"/>
      </sharedItems>
    </cacheField>
    <cacheField name="Time Units" numFmtId="0">
      <sharedItems containsNonDate="0" containsString="0" containsBlank="1"/>
    </cacheField>
    <cacheField name="Pending till" numFmtId="0">
      <sharedItems containsNonDate="0" containsString="0" containsBlank="1"/>
    </cacheField>
    <cacheField name="Created At" numFmtId="14">
      <sharedItems containsSemiMixedTypes="0" containsNonDate="0" containsDate="1" containsString="0" minDate="2023-01-01T00:00:00" maxDate="2024-01-08T00:00:00"/>
    </cacheField>
    <cacheField name="Month" numFmtId="14">
      <sharedItems containsDate="1" containsMixedTypes="1" minDate="2023-07-20T00:00:00" maxDate="2023-07-21T00:00:00" count="13">
        <s v="January"/>
        <s v="September"/>
        <s v="July"/>
        <s v="October"/>
        <s v="May"/>
        <s v="April"/>
        <s v="June"/>
        <s v="March"/>
        <s v="August"/>
        <s v="November"/>
        <s v="December"/>
        <s v="February"/>
        <d v="2023-07-20T00:00:00" u="1"/>
      </sharedItems>
    </cacheField>
    <cacheField name="Quarter" numFmtId="14">
      <sharedItems containsBlank="1" count="5">
        <s v="Q1"/>
        <s v="Q3"/>
        <s v="Q4"/>
        <s v="Q2"/>
        <m u="1"/>
      </sharedItems>
    </cacheField>
    <cacheField name="Updated At" numFmtId="14">
      <sharedItems containsSemiMixedTypes="0" containsNonDate="0" containsDate="1" containsString="0" minDate="2023-01-01T00:00:00" maxDate="2024-01-08T00:00:00"/>
    </cacheField>
    <cacheField name="Closed At" numFmtId="14">
      <sharedItems containsSemiMixedTypes="0" containsNonDate="0" containsDate="1" containsString="0" minDate="2023-01-01T00:00:00" maxDate="2024-01-08T00:00:00"/>
    </cacheField>
  </cacheFields>
  <extLst>
    <ext xmlns:x14="http://schemas.microsoft.com/office/spreadsheetml/2009/9/main" uri="{725AE2AE-9491-48be-B2B4-4EB974FC3084}">
      <x14:pivotCacheDefinition pivotCacheId="444011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2897592"/>
    <m/>
    <x v="0"/>
    <x v="0"/>
    <s v="Phone Service"/>
    <s v="Diego"/>
    <x v="0"/>
    <s v="Corporate Tools"/>
    <s v="note"/>
    <s v="Customer"/>
    <x v="0"/>
    <x v="0"/>
    <m/>
    <m/>
    <d v="2023-01-30T00:00:00"/>
    <x v="0"/>
    <x v="0"/>
    <d v="2023-10-24T00:00:00"/>
    <d v="2023-02-21T00:00:00"/>
  </r>
  <r>
    <n v="2557105"/>
    <m/>
    <x v="1"/>
    <x v="1"/>
    <s v="Phone Service"/>
    <s v="Diego"/>
    <x v="1"/>
    <s v="Corporate Tools"/>
    <s v="note"/>
    <s v="Customer"/>
    <x v="1"/>
    <x v="1"/>
    <m/>
    <m/>
    <d v="2023-09-26T00:00:00"/>
    <x v="1"/>
    <x v="1"/>
    <d v="2023-11-11T00:00:00"/>
    <d v="2023-08-22T00:00:00"/>
  </r>
  <r>
    <n v="2783395"/>
    <m/>
    <x v="2"/>
    <x v="1"/>
    <s v="Phone Service"/>
    <s v="Diego"/>
    <x v="1"/>
    <s v="Corporate Tools"/>
    <s v="note"/>
    <s v="Customer"/>
    <x v="1"/>
    <x v="2"/>
    <m/>
    <m/>
    <d v="2023-07-12T00:00:00"/>
    <x v="2"/>
    <x v="1"/>
    <d v="2023-01-27T00:00:00"/>
    <d v="2023-08-18T00:00:00"/>
  </r>
  <r>
    <n v="2895870"/>
    <m/>
    <x v="2"/>
    <x v="2"/>
    <s v="Phone Service"/>
    <s v="Diego"/>
    <x v="2"/>
    <s v="Corporate Tools"/>
    <s v="note"/>
    <s v="Customer"/>
    <x v="2"/>
    <x v="3"/>
    <m/>
    <m/>
    <d v="2023-10-03T00:00:00"/>
    <x v="3"/>
    <x v="2"/>
    <d v="2023-05-13T00:00:00"/>
    <d v="2023-05-13T00:00:00"/>
  </r>
  <r>
    <n v="2212413"/>
    <m/>
    <x v="0"/>
    <x v="0"/>
    <s v="Phone Service"/>
    <s v="Diego"/>
    <x v="3"/>
    <s v="Corporate Tools"/>
    <s v="note"/>
    <s v="Customer"/>
    <x v="0"/>
    <x v="4"/>
    <m/>
    <m/>
    <d v="2023-05-25T00:00:00"/>
    <x v="4"/>
    <x v="3"/>
    <d v="2023-04-21T00:00:00"/>
    <d v="2023-04-04T00:00:00"/>
  </r>
  <r>
    <n v="2140505"/>
    <m/>
    <x v="2"/>
    <x v="0"/>
    <s v="Phone Service"/>
    <s v="Diego"/>
    <x v="0"/>
    <s v="Corporate Tools"/>
    <s v="note"/>
    <s v="Customer"/>
    <x v="1"/>
    <x v="0"/>
    <m/>
    <m/>
    <d v="2023-10-30T00:00:00"/>
    <x v="3"/>
    <x v="2"/>
    <d v="2023-08-29T00:00:00"/>
    <d v="2023-03-21T00:00:00"/>
  </r>
  <r>
    <n v="2677878"/>
    <m/>
    <x v="2"/>
    <x v="0"/>
    <s v="Phone Service"/>
    <s v="Diego"/>
    <x v="1"/>
    <s v="Corporate Tools"/>
    <s v="note"/>
    <s v="Customer"/>
    <x v="0"/>
    <x v="1"/>
    <m/>
    <m/>
    <d v="2023-04-21T00:00:00"/>
    <x v="5"/>
    <x v="3"/>
    <d v="2023-07-06T00:00:00"/>
    <d v="2023-05-08T00:00:00"/>
  </r>
  <r>
    <n v="2798945"/>
    <m/>
    <x v="1"/>
    <x v="2"/>
    <s v="Phone Service"/>
    <s v="Diego"/>
    <x v="1"/>
    <s v="Corporate Tools"/>
    <s v="note"/>
    <s v="Customer"/>
    <x v="0"/>
    <x v="4"/>
    <m/>
    <m/>
    <d v="2023-07-11T00:00:00"/>
    <x v="2"/>
    <x v="1"/>
    <d v="2023-01-19T00:00:00"/>
    <d v="2024-01-05T00:00:00"/>
  </r>
  <r>
    <n v="2340724"/>
    <m/>
    <x v="1"/>
    <x v="1"/>
    <s v="Phone Service"/>
    <s v="Diego"/>
    <x v="3"/>
    <s v="Corporate Tools"/>
    <s v="note"/>
    <s v="Customer"/>
    <x v="0"/>
    <x v="5"/>
    <m/>
    <m/>
    <d v="2023-06-07T00:00:00"/>
    <x v="6"/>
    <x v="3"/>
    <d v="2023-05-16T00:00:00"/>
    <d v="2023-12-04T00:00:00"/>
  </r>
  <r>
    <n v="2299828"/>
    <m/>
    <x v="0"/>
    <x v="0"/>
    <s v="Phone Service"/>
    <s v="Diego"/>
    <x v="0"/>
    <s v="Corporate Tools"/>
    <s v="note"/>
    <s v="Customer"/>
    <x v="2"/>
    <x v="5"/>
    <m/>
    <m/>
    <d v="2023-01-08T00:00:00"/>
    <x v="0"/>
    <x v="0"/>
    <d v="2023-11-21T00:00:00"/>
    <d v="2023-01-24T00:00:00"/>
  </r>
  <r>
    <n v="2524907"/>
    <m/>
    <x v="1"/>
    <x v="2"/>
    <s v="Phone Service"/>
    <s v="Diego"/>
    <x v="0"/>
    <s v="Corporate Tools"/>
    <s v="note"/>
    <s v="Customer"/>
    <x v="0"/>
    <x v="6"/>
    <m/>
    <m/>
    <d v="2023-05-24T00:00:00"/>
    <x v="4"/>
    <x v="3"/>
    <d v="2023-08-11T00:00:00"/>
    <d v="2023-10-26T00:00:00"/>
  </r>
  <r>
    <n v="2398814"/>
    <m/>
    <x v="2"/>
    <x v="2"/>
    <s v="Phone Service"/>
    <s v="Diego"/>
    <x v="3"/>
    <s v="Corporate Tools"/>
    <s v="note"/>
    <s v="Customer"/>
    <x v="2"/>
    <x v="3"/>
    <m/>
    <m/>
    <d v="2023-03-24T00:00:00"/>
    <x v="7"/>
    <x v="0"/>
    <d v="2023-01-23T00:00:00"/>
    <d v="2023-02-08T00:00:00"/>
  </r>
  <r>
    <n v="2176866"/>
    <m/>
    <x v="0"/>
    <x v="2"/>
    <s v="Phone Service"/>
    <s v="Diego"/>
    <x v="3"/>
    <s v="Corporate Tools"/>
    <s v="note"/>
    <s v="Customer"/>
    <x v="2"/>
    <x v="1"/>
    <m/>
    <m/>
    <d v="2023-03-17T00:00:00"/>
    <x v="7"/>
    <x v="0"/>
    <d v="2023-01-19T00:00:00"/>
    <d v="2023-12-13T00:00:00"/>
  </r>
  <r>
    <n v="2705516"/>
    <m/>
    <x v="1"/>
    <x v="2"/>
    <s v="Phone Service"/>
    <s v="Diego"/>
    <x v="0"/>
    <s v="Corporate Tools"/>
    <s v="note"/>
    <s v="Customer"/>
    <x v="1"/>
    <x v="7"/>
    <m/>
    <m/>
    <d v="2023-04-09T00:00:00"/>
    <x v="5"/>
    <x v="3"/>
    <d v="2023-11-23T00:00:00"/>
    <d v="2023-03-10T00:00:00"/>
  </r>
  <r>
    <n v="2186890"/>
    <m/>
    <x v="0"/>
    <x v="1"/>
    <s v="Phone Service"/>
    <s v="Diego"/>
    <x v="0"/>
    <s v="Corporate Tools"/>
    <s v="note"/>
    <s v="Customer"/>
    <x v="2"/>
    <x v="8"/>
    <m/>
    <m/>
    <d v="2023-03-19T00:00:00"/>
    <x v="7"/>
    <x v="0"/>
    <d v="2023-11-28T00:00:00"/>
    <d v="2023-01-15T00:00:00"/>
  </r>
  <r>
    <n v="2670639"/>
    <m/>
    <x v="2"/>
    <x v="1"/>
    <s v="Phone Service"/>
    <s v="Diego"/>
    <x v="1"/>
    <s v="Corporate Tools"/>
    <s v="note"/>
    <s v="Customer"/>
    <x v="0"/>
    <x v="9"/>
    <m/>
    <m/>
    <d v="2023-04-15T00:00:00"/>
    <x v="5"/>
    <x v="3"/>
    <d v="2023-01-05T00:00:00"/>
    <d v="2023-08-23T00:00:00"/>
  </r>
  <r>
    <n v="2056823"/>
    <m/>
    <x v="2"/>
    <x v="0"/>
    <s v="Phone Service"/>
    <s v="Diego"/>
    <x v="3"/>
    <s v="Corporate Tools"/>
    <s v="note"/>
    <s v="Customer"/>
    <x v="0"/>
    <x v="1"/>
    <m/>
    <m/>
    <d v="2023-07-20T00:00:00"/>
    <x v="2"/>
    <x v="1"/>
    <d v="2023-05-15T00:00:00"/>
    <d v="2023-02-09T00:00:00"/>
  </r>
  <r>
    <n v="2980054"/>
    <m/>
    <x v="0"/>
    <x v="0"/>
    <s v="Phone Service"/>
    <s v="Diego"/>
    <x v="0"/>
    <s v="Corporate Tools"/>
    <s v="note"/>
    <s v="Customer"/>
    <x v="0"/>
    <x v="10"/>
    <m/>
    <m/>
    <d v="2023-07-01T00:00:00"/>
    <x v="2"/>
    <x v="1"/>
    <d v="2023-01-16T00:00:00"/>
    <d v="2023-05-18T00:00:00"/>
  </r>
  <r>
    <n v="2447973"/>
    <m/>
    <x v="0"/>
    <x v="2"/>
    <s v="Phone Service"/>
    <s v="Diego"/>
    <x v="3"/>
    <s v="Corporate Tools"/>
    <s v="note"/>
    <s v="Customer"/>
    <x v="2"/>
    <x v="2"/>
    <m/>
    <m/>
    <d v="2023-08-25T00:00:00"/>
    <x v="8"/>
    <x v="1"/>
    <d v="2023-08-04T00:00:00"/>
    <d v="2023-12-17T00:00:00"/>
  </r>
  <r>
    <n v="2245431"/>
    <m/>
    <x v="1"/>
    <x v="1"/>
    <s v="Phone Service"/>
    <s v="Diego"/>
    <x v="0"/>
    <s v="Corporate Tools"/>
    <s v="note"/>
    <s v="Customer"/>
    <x v="2"/>
    <x v="10"/>
    <m/>
    <m/>
    <d v="2023-10-27T00:00:00"/>
    <x v="3"/>
    <x v="2"/>
    <d v="2023-04-04T00:00:00"/>
    <d v="2023-02-02T00:00:00"/>
  </r>
  <r>
    <n v="2695394"/>
    <m/>
    <x v="0"/>
    <x v="0"/>
    <s v="Phone Service"/>
    <s v="Diego"/>
    <x v="1"/>
    <s v="Corporate Tools"/>
    <s v="note"/>
    <s v="Customer"/>
    <x v="1"/>
    <x v="11"/>
    <m/>
    <m/>
    <d v="2023-09-05T00:00:00"/>
    <x v="1"/>
    <x v="1"/>
    <d v="2023-09-26T00:00:00"/>
    <d v="2023-11-05T00:00:00"/>
  </r>
  <r>
    <n v="2099803"/>
    <m/>
    <x v="0"/>
    <x v="0"/>
    <s v="Phone Service"/>
    <s v="Diego"/>
    <x v="0"/>
    <s v="Corporate Tools"/>
    <s v="note"/>
    <s v="Customer"/>
    <x v="2"/>
    <x v="11"/>
    <m/>
    <m/>
    <d v="2023-05-11T00:00:00"/>
    <x v="4"/>
    <x v="3"/>
    <d v="2023-07-13T00:00:00"/>
    <d v="2023-09-15T00:00:00"/>
  </r>
  <r>
    <n v="2371359"/>
    <m/>
    <x v="2"/>
    <x v="2"/>
    <s v="Phone Service"/>
    <s v="Diego"/>
    <x v="0"/>
    <s v="Corporate Tools"/>
    <s v="note"/>
    <s v="Customer"/>
    <x v="2"/>
    <x v="9"/>
    <m/>
    <m/>
    <d v="2023-11-24T00:00:00"/>
    <x v="9"/>
    <x v="2"/>
    <d v="2023-08-08T00:00:00"/>
    <d v="2023-12-14T00:00:00"/>
  </r>
  <r>
    <n v="2100664"/>
    <m/>
    <x v="0"/>
    <x v="0"/>
    <s v="Phone Service"/>
    <s v="Diego"/>
    <x v="0"/>
    <s v="Corporate Tools"/>
    <s v="note"/>
    <s v="Customer"/>
    <x v="3"/>
    <x v="10"/>
    <m/>
    <m/>
    <d v="2023-03-04T00:00:00"/>
    <x v="7"/>
    <x v="0"/>
    <d v="2023-02-09T00:00:00"/>
    <d v="2023-09-20T00:00:00"/>
  </r>
  <r>
    <n v="2784393"/>
    <m/>
    <x v="1"/>
    <x v="1"/>
    <s v="Phone Service"/>
    <s v="Diego"/>
    <x v="1"/>
    <s v="Corporate Tools"/>
    <s v="note"/>
    <s v="Customer"/>
    <x v="2"/>
    <x v="9"/>
    <m/>
    <m/>
    <d v="2023-03-21T00:00:00"/>
    <x v="7"/>
    <x v="0"/>
    <d v="2023-10-06T00:00:00"/>
    <d v="2023-11-09T00:00:00"/>
  </r>
  <r>
    <n v="2033267"/>
    <m/>
    <x v="0"/>
    <x v="2"/>
    <s v="Phone Service"/>
    <s v="Diego"/>
    <x v="0"/>
    <s v="Corporate Tools"/>
    <s v="note"/>
    <s v="Customer"/>
    <x v="2"/>
    <x v="12"/>
    <m/>
    <m/>
    <d v="2023-03-21T00:00:00"/>
    <x v="7"/>
    <x v="0"/>
    <d v="2023-09-10T00:00:00"/>
    <d v="2023-02-11T00:00:00"/>
  </r>
  <r>
    <n v="2226217"/>
    <m/>
    <x v="1"/>
    <x v="0"/>
    <s v="Phone Service"/>
    <s v="Diego"/>
    <x v="2"/>
    <s v="Corporate Tools"/>
    <s v="note"/>
    <s v="Customer"/>
    <x v="1"/>
    <x v="2"/>
    <m/>
    <m/>
    <d v="2023-03-03T00:00:00"/>
    <x v="7"/>
    <x v="0"/>
    <d v="2023-12-23T00:00:00"/>
    <d v="2023-11-12T00:00:00"/>
  </r>
  <r>
    <n v="2297268"/>
    <m/>
    <x v="2"/>
    <x v="0"/>
    <s v="Phone Service"/>
    <s v="Diego"/>
    <x v="3"/>
    <s v="Corporate Tools"/>
    <s v="note"/>
    <s v="Customer"/>
    <x v="0"/>
    <x v="6"/>
    <m/>
    <m/>
    <d v="2023-05-19T00:00:00"/>
    <x v="4"/>
    <x v="3"/>
    <d v="2023-12-07T00:00:00"/>
    <d v="2023-01-26T00:00:00"/>
  </r>
  <r>
    <n v="2240442"/>
    <m/>
    <x v="1"/>
    <x v="1"/>
    <s v="Phone Service"/>
    <s v="Diego"/>
    <x v="0"/>
    <s v="Corporate Tools"/>
    <s v="note"/>
    <s v="Customer"/>
    <x v="2"/>
    <x v="0"/>
    <m/>
    <m/>
    <d v="2023-09-13T00:00:00"/>
    <x v="1"/>
    <x v="1"/>
    <d v="2023-06-01T00:00:00"/>
    <d v="2023-04-10T00:00:00"/>
  </r>
  <r>
    <n v="2689854"/>
    <m/>
    <x v="1"/>
    <x v="2"/>
    <s v="Phone Service"/>
    <s v="Diego"/>
    <x v="3"/>
    <s v="Corporate Tools"/>
    <s v="note"/>
    <s v="Customer"/>
    <x v="3"/>
    <x v="10"/>
    <m/>
    <m/>
    <d v="2023-01-15T00:00:00"/>
    <x v="0"/>
    <x v="0"/>
    <d v="2023-11-17T00:00:00"/>
    <d v="2023-05-10T00:00:00"/>
  </r>
  <r>
    <n v="2577527"/>
    <m/>
    <x v="2"/>
    <x v="1"/>
    <s v="Phone Service"/>
    <s v="Diego"/>
    <x v="0"/>
    <s v="Corporate Tools"/>
    <s v="note"/>
    <s v="Customer"/>
    <x v="1"/>
    <x v="13"/>
    <m/>
    <m/>
    <d v="2023-08-19T00:00:00"/>
    <x v="8"/>
    <x v="1"/>
    <d v="2023-01-30T00:00:00"/>
    <d v="2023-08-06T00:00:00"/>
  </r>
  <r>
    <n v="2712685"/>
    <m/>
    <x v="2"/>
    <x v="0"/>
    <s v="Phone Service"/>
    <s v="Diego"/>
    <x v="2"/>
    <s v="Corporate Tools"/>
    <s v="note"/>
    <s v="Customer"/>
    <x v="3"/>
    <x v="14"/>
    <m/>
    <m/>
    <d v="2023-11-10T00:00:00"/>
    <x v="9"/>
    <x v="2"/>
    <d v="2023-09-16T00:00:00"/>
    <d v="2023-02-07T00:00:00"/>
  </r>
  <r>
    <n v="2688253"/>
    <m/>
    <x v="0"/>
    <x v="2"/>
    <s v="Phone Service"/>
    <s v="Diego"/>
    <x v="0"/>
    <s v="Corporate Tools"/>
    <s v="note"/>
    <s v="Customer"/>
    <x v="3"/>
    <x v="13"/>
    <m/>
    <m/>
    <d v="2023-12-08T00:00:00"/>
    <x v="10"/>
    <x v="2"/>
    <d v="2023-09-08T00:00:00"/>
    <d v="2023-10-15T00:00:00"/>
  </r>
  <r>
    <n v="2473873"/>
    <m/>
    <x v="0"/>
    <x v="0"/>
    <s v="Phone Service"/>
    <s v="Diego"/>
    <x v="1"/>
    <s v="Corporate Tools"/>
    <s v="note"/>
    <s v="Customer"/>
    <x v="3"/>
    <x v="4"/>
    <m/>
    <m/>
    <d v="2023-12-07T00:00:00"/>
    <x v="10"/>
    <x v="2"/>
    <d v="2023-10-03T00:00:00"/>
    <d v="2023-05-23T00:00:00"/>
  </r>
  <r>
    <n v="2715872"/>
    <m/>
    <x v="2"/>
    <x v="0"/>
    <s v="Phone Service"/>
    <s v="Diego"/>
    <x v="0"/>
    <s v="Corporate Tools"/>
    <s v="note"/>
    <s v="Customer"/>
    <x v="2"/>
    <x v="13"/>
    <m/>
    <m/>
    <d v="2023-09-09T00:00:00"/>
    <x v="1"/>
    <x v="1"/>
    <d v="2023-04-04T00:00:00"/>
    <d v="2023-01-01T00:00:00"/>
  </r>
  <r>
    <n v="2708283"/>
    <m/>
    <x v="0"/>
    <x v="1"/>
    <s v="Phone Service"/>
    <s v="Diego"/>
    <x v="1"/>
    <s v="Corporate Tools"/>
    <s v="note"/>
    <s v="Customer"/>
    <x v="3"/>
    <x v="15"/>
    <m/>
    <m/>
    <d v="2023-10-05T00:00:00"/>
    <x v="3"/>
    <x v="2"/>
    <d v="2023-03-24T00:00:00"/>
    <d v="2024-01-07T00:00:00"/>
  </r>
  <r>
    <n v="2396207"/>
    <m/>
    <x v="0"/>
    <x v="1"/>
    <s v="Phone Service"/>
    <s v="Diego"/>
    <x v="0"/>
    <s v="Corporate Tools"/>
    <s v="note"/>
    <s v="Customer"/>
    <x v="2"/>
    <x v="4"/>
    <m/>
    <m/>
    <d v="2023-03-22T00:00:00"/>
    <x v="7"/>
    <x v="0"/>
    <d v="2023-08-15T00:00:00"/>
    <d v="2023-07-26T00:00:00"/>
  </r>
  <r>
    <n v="2375691"/>
    <m/>
    <x v="2"/>
    <x v="0"/>
    <s v="Phone Service"/>
    <s v="Diego"/>
    <x v="2"/>
    <s v="Corporate Tools"/>
    <s v="note"/>
    <s v="Customer"/>
    <x v="2"/>
    <x v="14"/>
    <m/>
    <m/>
    <d v="2023-06-18T00:00:00"/>
    <x v="6"/>
    <x v="3"/>
    <d v="2023-09-05T00:00:00"/>
    <d v="2023-10-21T00:00:00"/>
  </r>
  <r>
    <n v="2351888"/>
    <m/>
    <x v="0"/>
    <x v="2"/>
    <s v="Phone Service"/>
    <s v="Diego"/>
    <x v="1"/>
    <s v="Corporate Tools"/>
    <s v="note"/>
    <s v="Customer"/>
    <x v="2"/>
    <x v="11"/>
    <m/>
    <m/>
    <d v="2023-03-11T00:00:00"/>
    <x v="7"/>
    <x v="0"/>
    <d v="2023-07-13T00:00:00"/>
    <d v="2023-11-01T00:00:00"/>
  </r>
  <r>
    <n v="2182414"/>
    <m/>
    <x v="0"/>
    <x v="0"/>
    <s v="Phone Service"/>
    <s v="Diego"/>
    <x v="2"/>
    <s v="Corporate Tools"/>
    <s v="note"/>
    <s v="Customer"/>
    <x v="3"/>
    <x v="13"/>
    <m/>
    <m/>
    <d v="2023-01-26T00:00:00"/>
    <x v="0"/>
    <x v="0"/>
    <d v="2023-10-17T00:00:00"/>
    <d v="2023-10-29T00:00:00"/>
  </r>
  <r>
    <n v="2335967"/>
    <m/>
    <x v="1"/>
    <x v="0"/>
    <s v="Phone Service"/>
    <s v="Diego"/>
    <x v="3"/>
    <s v="Corporate Tools"/>
    <s v="note"/>
    <s v="Customer"/>
    <x v="2"/>
    <x v="7"/>
    <m/>
    <m/>
    <d v="2023-08-28T00:00:00"/>
    <x v="8"/>
    <x v="1"/>
    <d v="2023-03-27T00:00:00"/>
    <d v="2023-06-17T00:00:00"/>
  </r>
  <r>
    <n v="2035367"/>
    <m/>
    <x v="0"/>
    <x v="0"/>
    <s v="Phone Service"/>
    <s v="Diego"/>
    <x v="0"/>
    <s v="Corporate Tools"/>
    <s v="note"/>
    <s v="Customer"/>
    <x v="1"/>
    <x v="4"/>
    <m/>
    <m/>
    <d v="2023-11-24T00:00:00"/>
    <x v="9"/>
    <x v="2"/>
    <d v="2023-11-03T00:00:00"/>
    <d v="2023-07-11T00:00:00"/>
  </r>
  <r>
    <n v="2189146"/>
    <m/>
    <x v="0"/>
    <x v="1"/>
    <s v="Phone Service"/>
    <s v="Diego"/>
    <x v="1"/>
    <s v="Corporate Tools"/>
    <s v="note"/>
    <s v="Customer"/>
    <x v="0"/>
    <x v="9"/>
    <m/>
    <m/>
    <d v="2023-06-15T00:00:00"/>
    <x v="6"/>
    <x v="3"/>
    <d v="2023-12-10T00:00:00"/>
    <d v="2023-04-04T00:00:00"/>
  </r>
  <r>
    <n v="2843071"/>
    <m/>
    <x v="2"/>
    <x v="2"/>
    <s v="Phone Service"/>
    <s v="Diego"/>
    <x v="2"/>
    <s v="Corporate Tools"/>
    <s v="note"/>
    <s v="Customer"/>
    <x v="0"/>
    <x v="7"/>
    <m/>
    <m/>
    <d v="2023-06-15T00:00:00"/>
    <x v="6"/>
    <x v="3"/>
    <d v="2023-03-03T00:00:00"/>
    <d v="2023-03-27T00:00:00"/>
  </r>
  <r>
    <n v="2745483"/>
    <m/>
    <x v="2"/>
    <x v="2"/>
    <s v="Phone Service"/>
    <s v="Diego"/>
    <x v="0"/>
    <s v="Corporate Tools"/>
    <s v="note"/>
    <s v="Customer"/>
    <x v="0"/>
    <x v="9"/>
    <m/>
    <m/>
    <d v="2023-01-13T00:00:00"/>
    <x v="0"/>
    <x v="0"/>
    <d v="2024-01-03T00:00:00"/>
    <d v="2023-06-20T00:00:00"/>
  </r>
  <r>
    <n v="2158751"/>
    <m/>
    <x v="1"/>
    <x v="1"/>
    <s v="Phone Service"/>
    <s v="Diego"/>
    <x v="0"/>
    <s v="Corporate Tools"/>
    <s v="note"/>
    <s v="Customer"/>
    <x v="2"/>
    <x v="4"/>
    <m/>
    <m/>
    <d v="2023-07-03T00:00:00"/>
    <x v="2"/>
    <x v="1"/>
    <d v="2023-10-30T00:00:00"/>
    <d v="2023-10-12T00:00:00"/>
  </r>
  <r>
    <n v="2647141"/>
    <m/>
    <x v="0"/>
    <x v="0"/>
    <s v="Phone Service"/>
    <s v="Diego"/>
    <x v="0"/>
    <s v="Corporate Tools"/>
    <s v="note"/>
    <s v="Customer"/>
    <x v="0"/>
    <x v="14"/>
    <m/>
    <m/>
    <d v="2023-03-30T00:00:00"/>
    <x v="7"/>
    <x v="0"/>
    <d v="2023-10-06T00:00:00"/>
    <d v="2023-01-19T00:00:00"/>
  </r>
  <r>
    <n v="2810187"/>
    <m/>
    <x v="1"/>
    <x v="2"/>
    <s v="Phone Service"/>
    <s v="Diego"/>
    <x v="1"/>
    <s v="Corporate Tools"/>
    <s v="note"/>
    <s v="Customer"/>
    <x v="3"/>
    <x v="5"/>
    <m/>
    <m/>
    <d v="2023-10-18T00:00:00"/>
    <x v="3"/>
    <x v="2"/>
    <d v="2023-07-22T00:00:00"/>
    <d v="2023-05-08T00:00:00"/>
  </r>
  <r>
    <n v="2535735"/>
    <m/>
    <x v="0"/>
    <x v="0"/>
    <s v="Phone Service"/>
    <s v="Diego"/>
    <x v="2"/>
    <s v="Corporate Tools"/>
    <s v="note"/>
    <s v="Customer"/>
    <x v="2"/>
    <x v="4"/>
    <m/>
    <m/>
    <d v="2023-10-28T00:00:00"/>
    <x v="3"/>
    <x v="2"/>
    <d v="2023-12-13T00:00:00"/>
    <d v="2023-05-22T00:00:00"/>
  </r>
  <r>
    <n v="2297363"/>
    <m/>
    <x v="1"/>
    <x v="0"/>
    <s v="Phone Service"/>
    <s v="Diego"/>
    <x v="0"/>
    <s v="Corporate Tools"/>
    <s v="note"/>
    <s v="Customer"/>
    <x v="0"/>
    <x v="5"/>
    <m/>
    <m/>
    <d v="2023-05-06T00:00:00"/>
    <x v="4"/>
    <x v="3"/>
    <d v="2023-12-31T00:00:00"/>
    <d v="2023-12-25T00:00:00"/>
  </r>
  <r>
    <n v="2715422"/>
    <m/>
    <x v="1"/>
    <x v="1"/>
    <s v="Phone Service"/>
    <s v="Diego"/>
    <x v="3"/>
    <s v="Corporate Tools"/>
    <s v="note"/>
    <s v="Customer"/>
    <x v="2"/>
    <x v="12"/>
    <m/>
    <m/>
    <d v="2023-04-04T00:00:00"/>
    <x v="5"/>
    <x v="3"/>
    <d v="2023-05-30T00:00:00"/>
    <d v="2023-03-26T00:00:00"/>
  </r>
  <r>
    <n v="2697666"/>
    <m/>
    <x v="1"/>
    <x v="1"/>
    <s v="Phone Service"/>
    <s v="Diego"/>
    <x v="2"/>
    <s v="Corporate Tools"/>
    <s v="note"/>
    <s v="Customer"/>
    <x v="3"/>
    <x v="11"/>
    <m/>
    <m/>
    <d v="2023-05-19T00:00:00"/>
    <x v="4"/>
    <x v="3"/>
    <d v="2023-05-21T00:00:00"/>
    <d v="2023-03-13T00:00:00"/>
  </r>
  <r>
    <n v="2905587"/>
    <m/>
    <x v="0"/>
    <x v="2"/>
    <s v="Phone Service"/>
    <s v="Diego"/>
    <x v="1"/>
    <s v="Corporate Tools"/>
    <s v="note"/>
    <s v="Customer"/>
    <x v="2"/>
    <x v="6"/>
    <m/>
    <m/>
    <d v="2023-11-20T00:00:00"/>
    <x v="9"/>
    <x v="2"/>
    <d v="2024-01-07T00:00:00"/>
    <d v="2023-11-18T00:00:00"/>
  </r>
  <r>
    <n v="2513093"/>
    <m/>
    <x v="2"/>
    <x v="1"/>
    <s v="Phone Service"/>
    <s v="Diego"/>
    <x v="2"/>
    <s v="Corporate Tools"/>
    <s v="note"/>
    <s v="Customer"/>
    <x v="1"/>
    <x v="9"/>
    <m/>
    <m/>
    <d v="2023-11-01T00:00:00"/>
    <x v="9"/>
    <x v="2"/>
    <d v="2023-03-27T00:00:00"/>
    <d v="2023-06-15T00:00:00"/>
  </r>
  <r>
    <n v="2103138"/>
    <m/>
    <x v="2"/>
    <x v="2"/>
    <s v="Phone Service"/>
    <s v="Diego"/>
    <x v="3"/>
    <s v="Corporate Tools"/>
    <s v="note"/>
    <s v="Customer"/>
    <x v="1"/>
    <x v="10"/>
    <m/>
    <m/>
    <d v="2023-10-08T00:00:00"/>
    <x v="3"/>
    <x v="2"/>
    <d v="2023-03-25T00:00:00"/>
    <d v="2023-11-23T00:00:00"/>
  </r>
  <r>
    <n v="2984218"/>
    <m/>
    <x v="0"/>
    <x v="2"/>
    <s v="Phone Service"/>
    <s v="Diego"/>
    <x v="1"/>
    <s v="Corporate Tools"/>
    <s v="note"/>
    <s v="Customer"/>
    <x v="3"/>
    <x v="7"/>
    <m/>
    <m/>
    <d v="2023-04-20T00:00:00"/>
    <x v="5"/>
    <x v="3"/>
    <d v="2023-10-16T00:00:00"/>
    <d v="2023-11-11T00:00:00"/>
  </r>
  <r>
    <n v="2351685"/>
    <m/>
    <x v="0"/>
    <x v="2"/>
    <s v="Phone Service"/>
    <s v="Diego"/>
    <x v="1"/>
    <s v="Corporate Tools"/>
    <s v="note"/>
    <s v="Customer"/>
    <x v="1"/>
    <x v="12"/>
    <m/>
    <m/>
    <d v="2023-04-19T00:00:00"/>
    <x v="5"/>
    <x v="3"/>
    <d v="2023-12-06T00:00:00"/>
    <d v="2023-07-13T00:00:00"/>
  </r>
  <r>
    <n v="2570304"/>
    <m/>
    <x v="2"/>
    <x v="0"/>
    <s v="Phone Service"/>
    <s v="Diego"/>
    <x v="1"/>
    <s v="Corporate Tools"/>
    <s v="note"/>
    <s v="Customer"/>
    <x v="3"/>
    <x v="13"/>
    <m/>
    <m/>
    <d v="2023-10-20T00:00:00"/>
    <x v="3"/>
    <x v="2"/>
    <d v="2023-06-14T00:00:00"/>
    <d v="2023-12-02T00:00:00"/>
  </r>
  <r>
    <n v="2580981"/>
    <m/>
    <x v="2"/>
    <x v="0"/>
    <s v="Phone Service"/>
    <s v="Diego"/>
    <x v="1"/>
    <s v="Corporate Tools"/>
    <s v="note"/>
    <s v="Customer"/>
    <x v="0"/>
    <x v="14"/>
    <m/>
    <m/>
    <d v="2023-10-29T00:00:00"/>
    <x v="3"/>
    <x v="2"/>
    <d v="2023-07-20T00:00:00"/>
    <d v="2023-11-25T00:00:00"/>
  </r>
  <r>
    <n v="2678333"/>
    <m/>
    <x v="0"/>
    <x v="2"/>
    <s v="Phone Service"/>
    <s v="Diego"/>
    <x v="2"/>
    <s v="Corporate Tools"/>
    <s v="note"/>
    <s v="Customer"/>
    <x v="0"/>
    <x v="6"/>
    <m/>
    <m/>
    <d v="2023-10-25T00:00:00"/>
    <x v="3"/>
    <x v="2"/>
    <d v="2023-04-19T00:00:00"/>
    <d v="2023-06-20T00:00:00"/>
  </r>
  <r>
    <n v="2978786"/>
    <m/>
    <x v="1"/>
    <x v="0"/>
    <s v="Phone Service"/>
    <s v="Diego"/>
    <x v="0"/>
    <s v="Corporate Tools"/>
    <s v="note"/>
    <s v="Customer"/>
    <x v="2"/>
    <x v="8"/>
    <m/>
    <m/>
    <d v="2023-02-16T00:00:00"/>
    <x v="11"/>
    <x v="0"/>
    <d v="2023-04-29T00:00:00"/>
    <d v="2023-02-09T00:00:00"/>
  </r>
  <r>
    <n v="2963145"/>
    <m/>
    <x v="1"/>
    <x v="1"/>
    <s v="Phone Service"/>
    <s v="Diego"/>
    <x v="1"/>
    <s v="Corporate Tools"/>
    <s v="note"/>
    <s v="Customer"/>
    <x v="3"/>
    <x v="9"/>
    <m/>
    <m/>
    <d v="2023-08-15T00:00:00"/>
    <x v="8"/>
    <x v="1"/>
    <d v="2023-11-07T00:00:00"/>
    <d v="2023-04-27T00:00:00"/>
  </r>
  <r>
    <n v="2850364"/>
    <m/>
    <x v="2"/>
    <x v="2"/>
    <s v="Phone Service"/>
    <s v="Diego"/>
    <x v="0"/>
    <s v="Corporate Tools"/>
    <s v="note"/>
    <s v="Customer"/>
    <x v="0"/>
    <x v="15"/>
    <m/>
    <m/>
    <d v="2023-11-03T00:00:00"/>
    <x v="9"/>
    <x v="2"/>
    <d v="2023-08-11T00:00:00"/>
    <d v="2023-11-04T00:00:00"/>
  </r>
  <r>
    <n v="2581121"/>
    <m/>
    <x v="2"/>
    <x v="0"/>
    <s v="Phone Service"/>
    <s v="Diego"/>
    <x v="2"/>
    <s v="Corporate Tools"/>
    <s v="note"/>
    <s v="Customer"/>
    <x v="0"/>
    <x v="14"/>
    <m/>
    <m/>
    <d v="2023-11-22T00:00:00"/>
    <x v="9"/>
    <x v="2"/>
    <d v="2023-05-31T00:00:00"/>
    <d v="2023-02-24T00:00:00"/>
  </r>
  <r>
    <n v="2907125"/>
    <m/>
    <x v="1"/>
    <x v="0"/>
    <s v="Phone Service"/>
    <s v="Diego"/>
    <x v="1"/>
    <s v="Corporate Tools"/>
    <s v="note"/>
    <s v="Customer"/>
    <x v="2"/>
    <x v="6"/>
    <m/>
    <m/>
    <d v="2023-06-15T00:00:00"/>
    <x v="6"/>
    <x v="3"/>
    <d v="2023-06-10T00:00:00"/>
    <d v="2023-12-06T00:00:00"/>
  </r>
  <r>
    <n v="2671227"/>
    <m/>
    <x v="0"/>
    <x v="0"/>
    <s v="Phone Service"/>
    <s v="Diego"/>
    <x v="1"/>
    <s v="Corporate Tools"/>
    <s v="note"/>
    <s v="Customer"/>
    <x v="1"/>
    <x v="12"/>
    <m/>
    <m/>
    <d v="2023-10-10T00:00:00"/>
    <x v="3"/>
    <x v="2"/>
    <d v="2023-02-26T00:00:00"/>
    <d v="2023-09-22T00:00:00"/>
  </r>
  <r>
    <n v="2003921"/>
    <m/>
    <x v="2"/>
    <x v="0"/>
    <s v="Phone Service"/>
    <s v="Diego"/>
    <x v="1"/>
    <s v="Corporate Tools"/>
    <s v="note"/>
    <s v="Customer"/>
    <x v="3"/>
    <x v="11"/>
    <m/>
    <m/>
    <d v="2023-12-01T00:00:00"/>
    <x v="10"/>
    <x v="2"/>
    <d v="2023-08-18T00:00:00"/>
    <d v="2023-04-17T00:00:00"/>
  </r>
  <r>
    <n v="2437354"/>
    <m/>
    <x v="1"/>
    <x v="2"/>
    <s v="Phone Service"/>
    <s v="Diego"/>
    <x v="0"/>
    <s v="Corporate Tools"/>
    <s v="note"/>
    <s v="Customer"/>
    <x v="1"/>
    <x v="10"/>
    <m/>
    <m/>
    <d v="2023-02-06T00:00:00"/>
    <x v="11"/>
    <x v="0"/>
    <d v="2023-05-19T00:00:00"/>
    <d v="2023-06-24T00:00:00"/>
  </r>
  <r>
    <n v="2534545"/>
    <m/>
    <x v="1"/>
    <x v="0"/>
    <s v="Phone Service"/>
    <s v="Diego"/>
    <x v="3"/>
    <s v="Corporate Tools"/>
    <s v="note"/>
    <s v="Customer"/>
    <x v="3"/>
    <x v="13"/>
    <m/>
    <m/>
    <d v="2023-10-13T00:00:00"/>
    <x v="3"/>
    <x v="2"/>
    <d v="2023-06-09T00:00:00"/>
    <d v="2023-10-03T00:00:00"/>
  </r>
  <r>
    <n v="2794502"/>
    <m/>
    <x v="0"/>
    <x v="0"/>
    <s v="Phone Service"/>
    <s v="Diego"/>
    <x v="3"/>
    <s v="Corporate Tools"/>
    <s v="note"/>
    <s v="Customer"/>
    <x v="1"/>
    <x v="4"/>
    <m/>
    <m/>
    <d v="2023-08-06T00:00:00"/>
    <x v="8"/>
    <x v="1"/>
    <d v="2023-01-28T00:00:00"/>
    <d v="2023-10-25T00:00:00"/>
  </r>
  <r>
    <n v="2899077"/>
    <m/>
    <x v="0"/>
    <x v="2"/>
    <s v="Phone Service"/>
    <s v="Diego"/>
    <x v="3"/>
    <s v="Corporate Tools"/>
    <s v="note"/>
    <s v="Customer"/>
    <x v="0"/>
    <x v="3"/>
    <m/>
    <m/>
    <d v="2023-11-27T00:00:00"/>
    <x v="9"/>
    <x v="2"/>
    <d v="2023-03-06T00:00:00"/>
    <d v="2023-07-25T00:00:00"/>
  </r>
  <r>
    <n v="2087206"/>
    <m/>
    <x v="2"/>
    <x v="0"/>
    <s v="Phone Service"/>
    <s v="Diego"/>
    <x v="0"/>
    <s v="Corporate Tools"/>
    <s v="note"/>
    <s v="Customer"/>
    <x v="0"/>
    <x v="2"/>
    <m/>
    <m/>
    <d v="2023-05-30T00:00:00"/>
    <x v="4"/>
    <x v="3"/>
    <d v="2023-09-21T00:00:00"/>
    <d v="2023-02-13T00:00:00"/>
  </r>
  <r>
    <n v="2527232"/>
    <m/>
    <x v="2"/>
    <x v="0"/>
    <s v="Phone Service"/>
    <s v="Diego"/>
    <x v="3"/>
    <s v="Corporate Tools"/>
    <s v="note"/>
    <s v="Customer"/>
    <x v="2"/>
    <x v="14"/>
    <m/>
    <m/>
    <d v="2024-01-01T00:00:00"/>
    <x v="0"/>
    <x v="0"/>
    <d v="2023-12-25T00:00:00"/>
    <d v="2023-06-30T00:00:00"/>
  </r>
  <r>
    <n v="2610859"/>
    <m/>
    <x v="0"/>
    <x v="1"/>
    <s v="Phone Service"/>
    <s v="Diego"/>
    <x v="2"/>
    <s v="Corporate Tools"/>
    <s v="note"/>
    <s v="Customer"/>
    <x v="1"/>
    <x v="4"/>
    <m/>
    <m/>
    <d v="2023-12-21T00:00:00"/>
    <x v="10"/>
    <x v="2"/>
    <d v="2023-12-06T00:00:00"/>
    <d v="2023-11-13T00:00:00"/>
  </r>
  <r>
    <n v="2847934"/>
    <m/>
    <x v="2"/>
    <x v="2"/>
    <s v="Phone Service"/>
    <s v="Diego"/>
    <x v="0"/>
    <s v="Corporate Tools"/>
    <s v="note"/>
    <s v="Customer"/>
    <x v="1"/>
    <x v="13"/>
    <m/>
    <m/>
    <d v="2023-11-11T00:00:00"/>
    <x v="9"/>
    <x v="2"/>
    <d v="2023-05-08T00:00:00"/>
    <d v="2023-08-25T00:00:00"/>
  </r>
  <r>
    <n v="2055410"/>
    <m/>
    <x v="0"/>
    <x v="2"/>
    <s v="Phone Service"/>
    <s v="Diego"/>
    <x v="1"/>
    <s v="Corporate Tools"/>
    <s v="note"/>
    <s v="Customer"/>
    <x v="0"/>
    <x v="10"/>
    <m/>
    <m/>
    <d v="2023-01-01T00:00:00"/>
    <x v="0"/>
    <x v="0"/>
    <d v="2023-04-09T00:00:00"/>
    <d v="2023-08-12T00:00:00"/>
  </r>
  <r>
    <n v="2919497"/>
    <m/>
    <x v="2"/>
    <x v="0"/>
    <s v="Phone Service"/>
    <s v="Diego"/>
    <x v="0"/>
    <s v="Corporate Tools"/>
    <s v="note"/>
    <s v="Customer"/>
    <x v="3"/>
    <x v="7"/>
    <m/>
    <m/>
    <d v="2023-04-29T00:00:00"/>
    <x v="5"/>
    <x v="3"/>
    <d v="2023-03-18T00:00:00"/>
    <d v="2023-04-20T00:00:00"/>
  </r>
  <r>
    <n v="2921351"/>
    <m/>
    <x v="2"/>
    <x v="1"/>
    <s v="Phone Service"/>
    <s v="Diego"/>
    <x v="0"/>
    <s v="Corporate Tools"/>
    <s v="note"/>
    <s v="Customer"/>
    <x v="3"/>
    <x v="12"/>
    <m/>
    <m/>
    <d v="2023-11-03T00:00:00"/>
    <x v="9"/>
    <x v="2"/>
    <d v="2023-08-26T00:00:00"/>
    <d v="2023-05-20T00:00:00"/>
  </r>
  <r>
    <n v="2517430"/>
    <m/>
    <x v="0"/>
    <x v="1"/>
    <s v="Phone Service"/>
    <s v="Diego"/>
    <x v="0"/>
    <s v="Corporate Tools"/>
    <s v="note"/>
    <s v="Customer"/>
    <x v="2"/>
    <x v="1"/>
    <m/>
    <m/>
    <d v="2023-07-21T00:00:00"/>
    <x v="2"/>
    <x v="1"/>
    <d v="2023-04-05T00:00:00"/>
    <d v="2023-08-17T00:00:00"/>
  </r>
  <r>
    <n v="2091330"/>
    <m/>
    <x v="2"/>
    <x v="0"/>
    <s v="Phone Service"/>
    <s v="Diego"/>
    <x v="1"/>
    <s v="Corporate Tools"/>
    <s v="note"/>
    <s v="Customer"/>
    <x v="1"/>
    <x v="3"/>
    <m/>
    <m/>
    <d v="2023-03-09T00:00:00"/>
    <x v="7"/>
    <x v="0"/>
    <d v="2023-10-09T00:00:00"/>
    <d v="2023-05-21T00:00:00"/>
  </r>
  <r>
    <n v="2185407"/>
    <m/>
    <x v="1"/>
    <x v="1"/>
    <s v="Phone Service"/>
    <s v="Diego"/>
    <x v="3"/>
    <s v="Corporate Tools"/>
    <s v="note"/>
    <s v="Customer"/>
    <x v="2"/>
    <x v="14"/>
    <m/>
    <m/>
    <d v="2023-10-12T00:00:00"/>
    <x v="3"/>
    <x v="2"/>
    <d v="2023-09-26T00:00:00"/>
    <d v="2023-03-09T00:00:00"/>
  </r>
  <r>
    <n v="2354532"/>
    <m/>
    <x v="1"/>
    <x v="1"/>
    <s v="Phone Service"/>
    <s v="Diego"/>
    <x v="3"/>
    <s v="Corporate Tools"/>
    <s v="note"/>
    <s v="Customer"/>
    <x v="3"/>
    <x v="6"/>
    <m/>
    <m/>
    <d v="2023-07-12T00:00:00"/>
    <x v="2"/>
    <x v="1"/>
    <d v="2023-06-26T00:00:00"/>
    <d v="2023-12-27T00:00:00"/>
  </r>
  <r>
    <n v="2255327"/>
    <m/>
    <x v="0"/>
    <x v="2"/>
    <s v="Phone Service"/>
    <s v="Diego"/>
    <x v="0"/>
    <s v="Corporate Tools"/>
    <s v="note"/>
    <s v="Customer"/>
    <x v="3"/>
    <x v="9"/>
    <m/>
    <m/>
    <d v="2023-06-12T00:00:00"/>
    <x v="6"/>
    <x v="3"/>
    <d v="2024-01-07T00:00:00"/>
    <d v="2023-06-08T00:00:00"/>
  </r>
  <r>
    <n v="2847207"/>
    <m/>
    <x v="1"/>
    <x v="0"/>
    <s v="Phone Service"/>
    <s v="Diego"/>
    <x v="0"/>
    <s v="Corporate Tools"/>
    <s v="note"/>
    <s v="Customer"/>
    <x v="0"/>
    <x v="13"/>
    <m/>
    <m/>
    <d v="2023-12-16T00:00:00"/>
    <x v="10"/>
    <x v="2"/>
    <d v="2023-08-26T00:00:00"/>
    <d v="2023-02-14T00:00:00"/>
  </r>
  <r>
    <n v="2263192"/>
    <m/>
    <x v="2"/>
    <x v="2"/>
    <s v="Phone Service"/>
    <s v="Diego"/>
    <x v="0"/>
    <s v="Corporate Tools"/>
    <s v="note"/>
    <s v="Customer"/>
    <x v="2"/>
    <x v="4"/>
    <m/>
    <m/>
    <d v="2023-03-26T00:00:00"/>
    <x v="7"/>
    <x v="0"/>
    <d v="2023-01-15T00:00:00"/>
    <d v="2023-04-24T00:00:00"/>
  </r>
  <r>
    <n v="2411723"/>
    <m/>
    <x v="1"/>
    <x v="1"/>
    <s v="Phone Service"/>
    <s v="Diego"/>
    <x v="2"/>
    <s v="Corporate Tools"/>
    <s v="note"/>
    <s v="Customer"/>
    <x v="2"/>
    <x v="14"/>
    <m/>
    <m/>
    <d v="2023-09-23T00:00:00"/>
    <x v="1"/>
    <x v="1"/>
    <d v="2023-07-01T00:00:00"/>
    <d v="2023-09-16T00:00:00"/>
  </r>
  <r>
    <n v="2756202"/>
    <m/>
    <x v="0"/>
    <x v="1"/>
    <s v="Phone Service"/>
    <s v="Diego"/>
    <x v="0"/>
    <s v="Corporate Tools"/>
    <s v="note"/>
    <s v="Customer"/>
    <x v="3"/>
    <x v="15"/>
    <m/>
    <m/>
    <d v="2023-02-22T00:00:00"/>
    <x v="11"/>
    <x v="0"/>
    <d v="2023-11-04T00:00:00"/>
    <d v="2023-06-26T00:00:00"/>
  </r>
  <r>
    <n v="2509477"/>
    <m/>
    <x v="0"/>
    <x v="0"/>
    <s v="Phone Service"/>
    <s v="Diego"/>
    <x v="3"/>
    <s v="Corporate Tools"/>
    <s v="note"/>
    <s v="Customer"/>
    <x v="1"/>
    <x v="8"/>
    <m/>
    <m/>
    <d v="2023-11-04T00:00:00"/>
    <x v="9"/>
    <x v="2"/>
    <d v="2023-08-06T00:00:00"/>
    <d v="2023-12-11T00:00:00"/>
  </r>
  <r>
    <n v="2580151"/>
    <m/>
    <x v="0"/>
    <x v="0"/>
    <s v="Phone Service"/>
    <s v="Diego"/>
    <x v="0"/>
    <s v="Corporate Tools"/>
    <s v="note"/>
    <s v="Customer"/>
    <x v="0"/>
    <x v="11"/>
    <m/>
    <m/>
    <d v="2023-08-08T00:00:00"/>
    <x v="8"/>
    <x v="1"/>
    <d v="2023-07-26T00:00:00"/>
    <d v="2023-05-07T00:00:00"/>
  </r>
  <r>
    <n v="2912380"/>
    <m/>
    <x v="2"/>
    <x v="2"/>
    <s v="Phone Service"/>
    <s v="Diego"/>
    <x v="3"/>
    <s v="Corporate Tools"/>
    <s v="note"/>
    <s v="Customer"/>
    <x v="0"/>
    <x v="7"/>
    <m/>
    <m/>
    <d v="2023-06-02T00:00:00"/>
    <x v="6"/>
    <x v="3"/>
    <d v="2023-08-11T00:00:00"/>
    <d v="2023-10-27T00:00:00"/>
  </r>
  <r>
    <n v="2302084"/>
    <m/>
    <x v="0"/>
    <x v="1"/>
    <s v="Phone Service"/>
    <s v="Diego"/>
    <x v="1"/>
    <s v="Corporate Tools"/>
    <s v="note"/>
    <s v="Customer"/>
    <x v="1"/>
    <x v="4"/>
    <m/>
    <m/>
    <d v="2023-02-17T00:00:00"/>
    <x v="11"/>
    <x v="0"/>
    <d v="2023-10-04T00:00:00"/>
    <d v="2023-03-23T00:00:00"/>
  </r>
  <r>
    <n v="2924059"/>
    <m/>
    <x v="0"/>
    <x v="2"/>
    <s v="Phone Service"/>
    <s v="Diego"/>
    <x v="1"/>
    <s v="Corporate Tools"/>
    <s v="note"/>
    <s v="Customer"/>
    <x v="3"/>
    <x v="1"/>
    <m/>
    <m/>
    <d v="2023-02-12T00:00:00"/>
    <x v="11"/>
    <x v="0"/>
    <d v="2023-09-21T00:00:00"/>
    <d v="2023-08-10T00:00:00"/>
  </r>
  <r>
    <n v="2622713"/>
    <m/>
    <x v="1"/>
    <x v="1"/>
    <s v="Phone Service"/>
    <s v="Diego"/>
    <x v="0"/>
    <s v="Corporate Tools"/>
    <s v="note"/>
    <s v="Customer"/>
    <x v="0"/>
    <x v="15"/>
    <m/>
    <m/>
    <d v="2023-10-31T00:00:00"/>
    <x v="3"/>
    <x v="2"/>
    <d v="2023-05-04T00:00:00"/>
    <d v="2023-01-16T00:00:00"/>
  </r>
  <r>
    <n v="2992009"/>
    <m/>
    <x v="0"/>
    <x v="0"/>
    <s v="Phone Service"/>
    <s v="Diego"/>
    <x v="2"/>
    <s v="Corporate Tools"/>
    <s v="note"/>
    <s v="Customer"/>
    <x v="2"/>
    <x v="14"/>
    <m/>
    <m/>
    <d v="2023-05-10T00:00:00"/>
    <x v="4"/>
    <x v="3"/>
    <d v="2023-06-24T00:00:00"/>
    <d v="2023-01-24T00:00:00"/>
  </r>
  <r>
    <n v="2340800"/>
    <m/>
    <x v="0"/>
    <x v="0"/>
    <s v="Phone Service"/>
    <s v="Diego"/>
    <x v="2"/>
    <s v="Corporate Tools"/>
    <s v="note"/>
    <s v="Customer"/>
    <x v="3"/>
    <x v="3"/>
    <m/>
    <m/>
    <d v="2023-09-06T00:00:00"/>
    <x v="1"/>
    <x v="1"/>
    <d v="2023-03-04T00:00:00"/>
    <d v="2023-04-18T00:00:00"/>
  </r>
  <r>
    <n v="2949869"/>
    <m/>
    <x v="2"/>
    <x v="2"/>
    <s v="Phone Service"/>
    <s v="Diego"/>
    <x v="0"/>
    <s v="Corporate Tools"/>
    <s v="note"/>
    <s v="Customer"/>
    <x v="2"/>
    <x v="11"/>
    <m/>
    <m/>
    <d v="2023-12-18T00:00:00"/>
    <x v="10"/>
    <x v="2"/>
    <d v="2023-06-17T00:00:00"/>
    <d v="2023-09-25T00:00:00"/>
  </r>
  <r>
    <n v="2686918"/>
    <m/>
    <x v="2"/>
    <x v="1"/>
    <s v="Phone Service"/>
    <s v="Diego"/>
    <x v="0"/>
    <s v="Corporate Tools"/>
    <s v="note"/>
    <s v="Customer"/>
    <x v="3"/>
    <x v="11"/>
    <m/>
    <m/>
    <d v="2023-02-28T00:00:00"/>
    <x v="11"/>
    <x v="0"/>
    <d v="2023-05-01T00:00:00"/>
    <d v="2023-01-19T00:00:00"/>
  </r>
  <r>
    <n v="2073453"/>
    <m/>
    <x v="1"/>
    <x v="2"/>
    <s v="Phone Service"/>
    <s v="Diego"/>
    <x v="1"/>
    <s v="Corporate Tools"/>
    <s v="note"/>
    <s v="Customer"/>
    <x v="0"/>
    <x v="4"/>
    <m/>
    <m/>
    <d v="2023-07-20T00:00:00"/>
    <x v="2"/>
    <x v="1"/>
    <d v="2023-12-12T00:00:00"/>
    <d v="2023-08-28T00:00:00"/>
  </r>
  <r>
    <n v="2363866"/>
    <m/>
    <x v="0"/>
    <x v="2"/>
    <s v="Phone Service"/>
    <s v="Diego"/>
    <x v="1"/>
    <s v="Corporate Tools"/>
    <s v="note"/>
    <s v="Customer"/>
    <x v="0"/>
    <x v="3"/>
    <m/>
    <m/>
    <d v="2023-06-22T00:00:00"/>
    <x v="6"/>
    <x v="3"/>
    <d v="2023-10-24T00:00:00"/>
    <d v="2023-08-31T00:00:00"/>
  </r>
  <r>
    <n v="2946834"/>
    <m/>
    <x v="0"/>
    <x v="0"/>
    <s v="Phone Service"/>
    <s v="Diego"/>
    <x v="3"/>
    <s v="Corporate Tools"/>
    <s v="note"/>
    <s v="Customer"/>
    <x v="2"/>
    <x v="12"/>
    <m/>
    <m/>
    <d v="2023-12-15T00:00:00"/>
    <x v="10"/>
    <x v="2"/>
    <d v="2023-07-25T00:00:00"/>
    <d v="2024-01-03T00:00:00"/>
  </r>
  <r>
    <n v="2564322"/>
    <m/>
    <x v="0"/>
    <x v="1"/>
    <s v="Phone Service"/>
    <s v="Diego"/>
    <x v="0"/>
    <s v="Corporate Tools"/>
    <s v="note"/>
    <s v="Customer"/>
    <x v="3"/>
    <x v="6"/>
    <m/>
    <m/>
    <d v="2023-05-24T00:00:00"/>
    <x v="4"/>
    <x v="3"/>
    <d v="2023-12-03T00:00:00"/>
    <d v="2023-12-26T00:00:00"/>
  </r>
  <r>
    <n v="2646482"/>
    <m/>
    <x v="0"/>
    <x v="1"/>
    <s v="Phone Service"/>
    <s v="Diego"/>
    <x v="2"/>
    <s v="Corporate Tools"/>
    <s v="note"/>
    <s v="Customer"/>
    <x v="1"/>
    <x v="3"/>
    <m/>
    <m/>
    <d v="2023-03-30T00:00:00"/>
    <x v="7"/>
    <x v="0"/>
    <d v="2023-07-21T00:00:00"/>
    <d v="2023-02-23T00:00:00"/>
  </r>
  <r>
    <n v="2655544"/>
    <m/>
    <x v="2"/>
    <x v="1"/>
    <s v="Phone Service"/>
    <s v="Diego"/>
    <x v="1"/>
    <s v="Corporate Tools"/>
    <s v="note"/>
    <s v="Customer"/>
    <x v="1"/>
    <x v="2"/>
    <m/>
    <m/>
    <d v="2023-12-29T00:00:00"/>
    <x v="10"/>
    <x v="2"/>
    <d v="2023-03-13T00:00:00"/>
    <d v="2023-04-27T00:00:00"/>
  </r>
  <r>
    <n v="2504904"/>
    <m/>
    <x v="2"/>
    <x v="0"/>
    <s v="Phone Service"/>
    <s v="Diego"/>
    <x v="2"/>
    <s v="Corporate Tools"/>
    <s v="note"/>
    <s v="Customer"/>
    <x v="0"/>
    <x v="15"/>
    <m/>
    <m/>
    <d v="2023-07-06T00:00:00"/>
    <x v="2"/>
    <x v="1"/>
    <d v="2023-11-01T00:00:00"/>
    <d v="2023-04-24T00:00:00"/>
  </r>
  <r>
    <n v="2418561"/>
    <m/>
    <x v="1"/>
    <x v="1"/>
    <s v="Phone Service"/>
    <s v="Diego"/>
    <x v="2"/>
    <s v="Corporate Tools"/>
    <s v="note"/>
    <s v="Customer"/>
    <x v="3"/>
    <x v="8"/>
    <m/>
    <m/>
    <d v="2023-03-12T00:00:00"/>
    <x v="7"/>
    <x v="0"/>
    <d v="2023-01-31T00:00:00"/>
    <d v="2023-10-21T00:00:00"/>
  </r>
  <r>
    <n v="2937572"/>
    <m/>
    <x v="0"/>
    <x v="1"/>
    <s v="Phone Service"/>
    <s v="Diego"/>
    <x v="1"/>
    <s v="Corporate Tools"/>
    <s v="note"/>
    <s v="Customer"/>
    <x v="3"/>
    <x v="1"/>
    <m/>
    <m/>
    <d v="2023-06-04T00:00:00"/>
    <x v="6"/>
    <x v="3"/>
    <d v="2023-09-30T00:00:00"/>
    <d v="2023-01-21T00:00:00"/>
  </r>
  <r>
    <n v="2021854"/>
    <m/>
    <x v="2"/>
    <x v="1"/>
    <s v="Phone Service"/>
    <s v="Diego"/>
    <x v="1"/>
    <s v="Corporate Tools"/>
    <s v="note"/>
    <s v="Customer"/>
    <x v="0"/>
    <x v="13"/>
    <m/>
    <m/>
    <d v="2023-05-01T00:00:00"/>
    <x v="4"/>
    <x v="3"/>
    <d v="2023-06-13T00:00:00"/>
    <d v="2023-03-08T00:00:00"/>
  </r>
  <r>
    <n v="2793759"/>
    <m/>
    <x v="2"/>
    <x v="2"/>
    <s v="Phone Service"/>
    <s v="Diego"/>
    <x v="1"/>
    <s v="Corporate Tools"/>
    <s v="note"/>
    <s v="Customer"/>
    <x v="0"/>
    <x v="14"/>
    <m/>
    <m/>
    <d v="2023-10-23T00:00:00"/>
    <x v="3"/>
    <x v="2"/>
    <d v="2023-06-15T00:00:00"/>
    <d v="2023-05-31T00:00:00"/>
  </r>
  <r>
    <n v="2737059"/>
    <m/>
    <x v="2"/>
    <x v="1"/>
    <s v="Phone Service"/>
    <s v="Diego"/>
    <x v="3"/>
    <s v="Corporate Tools"/>
    <s v="note"/>
    <s v="Customer"/>
    <x v="3"/>
    <x v="15"/>
    <m/>
    <m/>
    <d v="2023-09-07T00:00:00"/>
    <x v="1"/>
    <x v="1"/>
    <d v="2023-04-10T00:00:00"/>
    <d v="2023-03-05T00:00:00"/>
  </r>
  <r>
    <n v="2398233"/>
    <m/>
    <x v="2"/>
    <x v="0"/>
    <s v="Phone Service"/>
    <s v="Diego"/>
    <x v="2"/>
    <s v="Corporate Tools"/>
    <s v="note"/>
    <s v="Customer"/>
    <x v="3"/>
    <x v="8"/>
    <m/>
    <m/>
    <d v="2023-12-04T00:00:00"/>
    <x v="10"/>
    <x v="2"/>
    <d v="2023-06-14T00:00:00"/>
    <d v="2023-08-25T00:00:00"/>
  </r>
  <r>
    <n v="2436994"/>
    <m/>
    <x v="0"/>
    <x v="2"/>
    <s v="Phone Service"/>
    <s v="Diego"/>
    <x v="2"/>
    <s v="Corporate Tools"/>
    <s v="note"/>
    <s v="Customer"/>
    <x v="1"/>
    <x v="13"/>
    <m/>
    <m/>
    <d v="2023-08-23T00:00:00"/>
    <x v="8"/>
    <x v="1"/>
    <d v="2023-02-18T00:00:00"/>
    <d v="2023-04-29T00:00:00"/>
  </r>
  <r>
    <n v="2313840"/>
    <m/>
    <x v="2"/>
    <x v="1"/>
    <s v="Phone Service"/>
    <s v="Diego"/>
    <x v="3"/>
    <s v="Corporate Tools"/>
    <s v="note"/>
    <s v="Customer"/>
    <x v="2"/>
    <x v="14"/>
    <m/>
    <m/>
    <d v="2023-01-10T00:00:00"/>
    <x v="0"/>
    <x v="0"/>
    <d v="2023-07-12T00:00:00"/>
    <d v="2023-06-03T00:00:00"/>
  </r>
  <r>
    <n v="2499480"/>
    <m/>
    <x v="1"/>
    <x v="2"/>
    <s v="Phone Service"/>
    <s v="Diego"/>
    <x v="2"/>
    <s v="Corporate Tools"/>
    <s v="note"/>
    <s v="Customer"/>
    <x v="0"/>
    <x v="9"/>
    <m/>
    <m/>
    <d v="2024-01-01T00:00:00"/>
    <x v="0"/>
    <x v="0"/>
    <d v="2023-02-05T00:00:00"/>
    <d v="2023-09-08T00:00:00"/>
  </r>
  <r>
    <n v="2809324"/>
    <m/>
    <x v="0"/>
    <x v="0"/>
    <s v="Phone Service"/>
    <s v="Diego"/>
    <x v="0"/>
    <s v="Corporate Tools"/>
    <s v="note"/>
    <s v="Customer"/>
    <x v="2"/>
    <x v="9"/>
    <m/>
    <m/>
    <d v="2023-06-25T00:00:00"/>
    <x v="6"/>
    <x v="3"/>
    <d v="2024-01-01T00:00:00"/>
    <d v="2023-12-15T00:00:00"/>
  </r>
  <r>
    <n v="2538063"/>
    <m/>
    <x v="1"/>
    <x v="1"/>
    <s v="Phone Service"/>
    <s v="Diego"/>
    <x v="3"/>
    <s v="Corporate Tools"/>
    <s v="note"/>
    <s v="Customer"/>
    <x v="3"/>
    <x v="15"/>
    <m/>
    <m/>
    <d v="2023-08-28T00:00:00"/>
    <x v="8"/>
    <x v="1"/>
    <d v="2023-07-01T00:00:00"/>
    <d v="2023-11-17T00:00:00"/>
  </r>
  <r>
    <n v="2116928"/>
    <m/>
    <x v="0"/>
    <x v="0"/>
    <s v="Phone Service"/>
    <s v="Diego"/>
    <x v="1"/>
    <s v="Corporate Tools"/>
    <s v="note"/>
    <s v="Customer"/>
    <x v="1"/>
    <x v="2"/>
    <m/>
    <m/>
    <d v="2023-01-26T00:00:00"/>
    <x v="0"/>
    <x v="0"/>
    <d v="2023-07-12T00:00:00"/>
    <d v="2023-11-24T00:00:00"/>
  </r>
  <r>
    <n v="2845852"/>
    <m/>
    <x v="1"/>
    <x v="1"/>
    <s v="Phone Service"/>
    <s v="Diego"/>
    <x v="0"/>
    <s v="Corporate Tools"/>
    <s v="note"/>
    <s v="Customer"/>
    <x v="0"/>
    <x v="1"/>
    <m/>
    <m/>
    <d v="2023-05-26T00:00:00"/>
    <x v="4"/>
    <x v="3"/>
    <d v="2023-03-16T00:00:00"/>
    <d v="2023-03-11T00:00:00"/>
  </r>
  <r>
    <n v="2959944"/>
    <m/>
    <x v="0"/>
    <x v="1"/>
    <s v="Phone Service"/>
    <s v="Diego"/>
    <x v="1"/>
    <s v="Corporate Tools"/>
    <s v="note"/>
    <s v="Customer"/>
    <x v="1"/>
    <x v="0"/>
    <m/>
    <m/>
    <d v="2023-04-14T00:00:00"/>
    <x v="5"/>
    <x v="3"/>
    <d v="2023-11-18T00:00:00"/>
    <d v="2023-12-31T00:00:00"/>
  </r>
  <r>
    <n v="2877349"/>
    <m/>
    <x v="2"/>
    <x v="2"/>
    <s v="Phone Service"/>
    <s v="Diego"/>
    <x v="1"/>
    <s v="Corporate Tools"/>
    <s v="note"/>
    <s v="Customer"/>
    <x v="3"/>
    <x v="4"/>
    <m/>
    <m/>
    <d v="2023-11-01T00:00:00"/>
    <x v="9"/>
    <x v="2"/>
    <d v="2023-05-28T00:00:00"/>
    <d v="2023-06-10T00:00:00"/>
  </r>
  <r>
    <n v="2450523"/>
    <m/>
    <x v="1"/>
    <x v="2"/>
    <s v="Phone Service"/>
    <s v="Diego"/>
    <x v="1"/>
    <s v="Corporate Tools"/>
    <s v="note"/>
    <s v="Customer"/>
    <x v="1"/>
    <x v="1"/>
    <m/>
    <m/>
    <d v="2023-11-22T00:00:00"/>
    <x v="9"/>
    <x v="2"/>
    <d v="2023-11-17T00:00:00"/>
    <d v="2023-06-11T00:00:00"/>
  </r>
  <r>
    <n v="2935158"/>
    <m/>
    <x v="0"/>
    <x v="1"/>
    <s v="Phone Service"/>
    <s v="Diego"/>
    <x v="0"/>
    <s v="Corporate Tools"/>
    <s v="note"/>
    <s v="Customer"/>
    <x v="2"/>
    <x v="15"/>
    <m/>
    <m/>
    <d v="2023-12-03T00:00:00"/>
    <x v="10"/>
    <x v="2"/>
    <d v="2023-12-16T00:00:00"/>
    <d v="2023-07-19T00:00:00"/>
  </r>
  <r>
    <n v="2896051"/>
    <m/>
    <x v="2"/>
    <x v="1"/>
    <s v="Phone Service"/>
    <s v="Diego"/>
    <x v="2"/>
    <s v="Corporate Tools"/>
    <s v="note"/>
    <s v="Customer"/>
    <x v="1"/>
    <x v="10"/>
    <m/>
    <m/>
    <d v="2023-06-12T00:00:00"/>
    <x v="6"/>
    <x v="3"/>
    <d v="2023-09-11T00:00:00"/>
    <d v="2023-11-10T00:00:00"/>
  </r>
  <r>
    <n v="2042073"/>
    <m/>
    <x v="0"/>
    <x v="0"/>
    <s v="Phone Service"/>
    <s v="Diego"/>
    <x v="2"/>
    <s v="Corporate Tools"/>
    <s v="note"/>
    <s v="Customer"/>
    <x v="0"/>
    <x v="6"/>
    <m/>
    <m/>
    <d v="2023-06-10T00:00:00"/>
    <x v="6"/>
    <x v="3"/>
    <d v="2023-11-07T00:00:00"/>
    <d v="2023-02-10T00:00:00"/>
  </r>
  <r>
    <n v="2397826"/>
    <m/>
    <x v="1"/>
    <x v="0"/>
    <s v="Phone Service"/>
    <s v="Diego"/>
    <x v="0"/>
    <s v="Corporate Tools"/>
    <s v="note"/>
    <s v="Customer"/>
    <x v="1"/>
    <x v="1"/>
    <m/>
    <m/>
    <d v="2023-04-25T00:00:00"/>
    <x v="5"/>
    <x v="3"/>
    <d v="2023-08-12T00:00:00"/>
    <d v="2023-01-02T00:00:00"/>
  </r>
  <r>
    <n v="2649188"/>
    <m/>
    <x v="2"/>
    <x v="2"/>
    <s v="Phone Service"/>
    <s v="Diego"/>
    <x v="3"/>
    <s v="Corporate Tools"/>
    <s v="note"/>
    <s v="Customer"/>
    <x v="2"/>
    <x v="13"/>
    <m/>
    <m/>
    <d v="2024-01-05T00:00:00"/>
    <x v="0"/>
    <x v="0"/>
    <d v="2023-04-17T00:00:00"/>
    <d v="2023-10-04T00:00:00"/>
  </r>
  <r>
    <n v="2256042"/>
    <m/>
    <x v="0"/>
    <x v="2"/>
    <s v="Phone Service"/>
    <s v="Diego"/>
    <x v="1"/>
    <s v="Corporate Tools"/>
    <s v="note"/>
    <s v="Customer"/>
    <x v="2"/>
    <x v="6"/>
    <m/>
    <m/>
    <d v="2023-01-06T00:00:00"/>
    <x v="0"/>
    <x v="0"/>
    <d v="2023-06-28T00:00:00"/>
    <d v="2023-05-12T00:00:00"/>
  </r>
  <r>
    <n v="2724985"/>
    <m/>
    <x v="2"/>
    <x v="1"/>
    <s v="Phone Service"/>
    <s v="Diego"/>
    <x v="3"/>
    <s v="Corporate Tools"/>
    <s v="note"/>
    <s v="Customer"/>
    <x v="1"/>
    <x v="6"/>
    <m/>
    <m/>
    <d v="2023-11-21T00:00:00"/>
    <x v="9"/>
    <x v="2"/>
    <d v="2023-03-16T00:00:00"/>
    <d v="2023-01-28T00:00:00"/>
  </r>
  <r>
    <n v="2591484"/>
    <m/>
    <x v="2"/>
    <x v="2"/>
    <s v="Phone Service"/>
    <s v="Diego"/>
    <x v="1"/>
    <s v="Corporate Tools"/>
    <s v="note"/>
    <s v="Customer"/>
    <x v="0"/>
    <x v="14"/>
    <m/>
    <m/>
    <d v="2023-04-20T00:00:00"/>
    <x v="5"/>
    <x v="3"/>
    <d v="2023-09-24T00:00:00"/>
    <d v="2023-05-30T00:00:00"/>
  </r>
  <r>
    <n v="2553478"/>
    <m/>
    <x v="0"/>
    <x v="1"/>
    <s v="Phone Service"/>
    <s v="Diego"/>
    <x v="1"/>
    <s v="Corporate Tools"/>
    <s v="note"/>
    <s v="Customer"/>
    <x v="2"/>
    <x v="5"/>
    <m/>
    <m/>
    <d v="2023-05-16T00:00:00"/>
    <x v="4"/>
    <x v="3"/>
    <d v="2023-04-25T00:00:00"/>
    <d v="2023-07-06T00:00:00"/>
  </r>
  <r>
    <n v="2801564"/>
    <m/>
    <x v="2"/>
    <x v="2"/>
    <s v="Phone Service"/>
    <s v="Diego"/>
    <x v="2"/>
    <s v="Corporate Tools"/>
    <s v="note"/>
    <s v="Customer"/>
    <x v="3"/>
    <x v="4"/>
    <m/>
    <m/>
    <d v="2023-08-10T00:00:00"/>
    <x v="8"/>
    <x v="1"/>
    <d v="2023-01-07T00:00:00"/>
    <d v="2023-09-14T00:00:00"/>
  </r>
  <r>
    <n v="2199054"/>
    <m/>
    <x v="1"/>
    <x v="2"/>
    <s v="Phone Service"/>
    <s v="Diego"/>
    <x v="0"/>
    <s v="Corporate Tools"/>
    <s v="note"/>
    <s v="Customer"/>
    <x v="2"/>
    <x v="0"/>
    <m/>
    <m/>
    <d v="2023-07-31T00:00:00"/>
    <x v="2"/>
    <x v="1"/>
    <d v="2023-09-21T00:00:00"/>
    <d v="2023-05-12T00:00:00"/>
  </r>
  <r>
    <n v="2825824"/>
    <m/>
    <x v="1"/>
    <x v="1"/>
    <s v="Phone Service"/>
    <s v="Diego"/>
    <x v="2"/>
    <s v="Corporate Tools"/>
    <s v="note"/>
    <s v="Customer"/>
    <x v="0"/>
    <x v="4"/>
    <m/>
    <m/>
    <d v="2023-10-10T00:00:00"/>
    <x v="3"/>
    <x v="2"/>
    <d v="2023-04-26T00:00:00"/>
    <d v="2023-06-27T00:00:00"/>
  </r>
  <r>
    <n v="2584007"/>
    <m/>
    <x v="2"/>
    <x v="2"/>
    <s v="Phone Service"/>
    <s v="Diego"/>
    <x v="1"/>
    <s v="Corporate Tools"/>
    <s v="note"/>
    <s v="Customer"/>
    <x v="1"/>
    <x v="12"/>
    <m/>
    <m/>
    <d v="2023-07-12T00:00:00"/>
    <x v="2"/>
    <x v="1"/>
    <d v="2023-09-01T00:00:00"/>
    <d v="2023-02-11T00:00:00"/>
  </r>
  <r>
    <n v="2946380"/>
    <m/>
    <x v="0"/>
    <x v="0"/>
    <s v="Phone Service"/>
    <s v="Diego"/>
    <x v="1"/>
    <s v="Corporate Tools"/>
    <s v="note"/>
    <s v="Customer"/>
    <x v="0"/>
    <x v="12"/>
    <m/>
    <m/>
    <d v="2023-02-04T00:00:00"/>
    <x v="11"/>
    <x v="0"/>
    <d v="2023-11-03T00:00:00"/>
    <d v="2023-09-03T00:00:00"/>
  </r>
  <r>
    <n v="2660234"/>
    <m/>
    <x v="1"/>
    <x v="1"/>
    <s v="Phone Service"/>
    <s v="Diego"/>
    <x v="1"/>
    <s v="Corporate Tools"/>
    <s v="note"/>
    <s v="Customer"/>
    <x v="1"/>
    <x v="3"/>
    <m/>
    <m/>
    <d v="2023-03-29T00:00:00"/>
    <x v="7"/>
    <x v="0"/>
    <d v="2023-05-26T00:00:00"/>
    <d v="2023-07-16T00:00:00"/>
  </r>
  <r>
    <n v="2938892"/>
    <m/>
    <x v="0"/>
    <x v="2"/>
    <s v="Phone Service"/>
    <s v="Diego"/>
    <x v="2"/>
    <s v="Corporate Tools"/>
    <s v="note"/>
    <s v="Customer"/>
    <x v="3"/>
    <x v="3"/>
    <m/>
    <m/>
    <d v="2023-03-06T00:00:00"/>
    <x v="7"/>
    <x v="0"/>
    <d v="2023-08-07T00:00:00"/>
    <d v="2023-05-11T00:00:00"/>
  </r>
  <r>
    <n v="2368505"/>
    <m/>
    <x v="1"/>
    <x v="0"/>
    <s v="Phone Service"/>
    <s v="Diego"/>
    <x v="1"/>
    <s v="Corporate Tools"/>
    <s v="note"/>
    <s v="Customer"/>
    <x v="2"/>
    <x v="14"/>
    <m/>
    <m/>
    <d v="2023-10-24T00:00:00"/>
    <x v="3"/>
    <x v="2"/>
    <d v="2023-03-14T00:00:00"/>
    <d v="2023-12-24T00:00:00"/>
  </r>
  <r>
    <n v="2346336"/>
    <m/>
    <x v="0"/>
    <x v="2"/>
    <s v="Phone Service"/>
    <s v="Diego"/>
    <x v="2"/>
    <s v="Corporate Tools"/>
    <s v="note"/>
    <s v="Customer"/>
    <x v="2"/>
    <x v="14"/>
    <m/>
    <m/>
    <d v="2023-01-27T00:00:00"/>
    <x v="0"/>
    <x v="0"/>
    <d v="2023-09-01T00:00:00"/>
    <d v="2023-07-21T00:00:00"/>
  </r>
  <r>
    <n v="2226727"/>
    <m/>
    <x v="1"/>
    <x v="1"/>
    <s v="Phone Service"/>
    <s v="Diego"/>
    <x v="1"/>
    <s v="Corporate Tools"/>
    <s v="note"/>
    <s v="Customer"/>
    <x v="0"/>
    <x v="1"/>
    <m/>
    <m/>
    <d v="2023-03-12T00:00:00"/>
    <x v="7"/>
    <x v="0"/>
    <d v="2023-08-27T00:00:00"/>
    <d v="2023-11-05T00:00:00"/>
  </r>
  <r>
    <n v="2817662"/>
    <m/>
    <x v="1"/>
    <x v="0"/>
    <s v="Phone Service"/>
    <s v="Diego"/>
    <x v="2"/>
    <s v="Corporate Tools"/>
    <s v="note"/>
    <s v="Customer"/>
    <x v="0"/>
    <x v="11"/>
    <m/>
    <m/>
    <d v="2023-08-12T00:00:00"/>
    <x v="8"/>
    <x v="1"/>
    <d v="2023-10-12T00:00:00"/>
    <d v="2023-11-27T00:00:00"/>
  </r>
  <r>
    <n v="2007864"/>
    <m/>
    <x v="2"/>
    <x v="2"/>
    <s v="Phone Service"/>
    <s v="Diego"/>
    <x v="2"/>
    <s v="Corporate Tools"/>
    <s v="note"/>
    <s v="Customer"/>
    <x v="3"/>
    <x v="9"/>
    <m/>
    <m/>
    <d v="2023-07-20T00:00:00"/>
    <x v="2"/>
    <x v="1"/>
    <d v="2023-09-13T00:00:00"/>
    <d v="2023-08-09T00:00:00"/>
  </r>
  <r>
    <n v="2968818"/>
    <m/>
    <x v="2"/>
    <x v="1"/>
    <s v="Phone Service"/>
    <s v="Diego"/>
    <x v="0"/>
    <s v="Corporate Tools"/>
    <s v="note"/>
    <s v="Customer"/>
    <x v="0"/>
    <x v="7"/>
    <m/>
    <m/>
    <d v="2023-11-09T00:00:00"/>
    <x v="9"/>
    <x v="2"/>
    <d v="2023-12-29T00:00:00"/>
    <d v="2023-11-25T00:00:00"/>
  </r>
  <r>
    <n v="2074774"/>
    <m/>
    <x v="2"/>
    <x v="0"/>
    <s v="Phone Service"/>
    <s v="Diego"/>
    <x v="0"/>
    <s v="Corporate Tools"/>
    <s v="note"/>
    <s v="Customer"/>
    <x v="0"/>
    <x v="10"/>
    <m/>
    <m/>
    <d v="2023-04-23T00:00:00"/>
    <x v="5"/>
    <x v="3"/>
    <d v="2023-03-26T00:00:00"/>
    <d v="2023-07-20T00:00:00"/>
  </r>
  <r>
    <n v="2342611"/>
    <m/>
    <x v="2"/>
    <x v="0"/>
    <s v="Phone Service"/>
    <s v="Diego"/>
    <x v="3"/>
    <s v="Corporate Tools"/>
    <s v="note"/>
    <s v="Customer"/>
    <x v="0"/>
    <x v="10"/>
    <m/>
    <m/>
    <d v="2023-06-08T00:00:00"/>
    <x v="6"/>
    <x v="3"/>
    <d v="2023-07-19T00:00:00"/>
    <d v="2023-03-15T00:00:00"/>
  </r>
  <r>
    <n v="2854355"/>
    <m/>
    <x v="1"/>
    <x v="0"/>
    <s v="Phone Service"/>
    <s v="Diego"/>
    <x v="3"/>
    <s v="Corporate Tools"/>
    <s v="note"/>
    <s v="Customer"/>
    <x v="1"/>
    <x v="0"/>
    <m/>
    <m/>
    <d v="2023-08-06T00:00:00"/>
    <x v="8"/>
    <x v="1"/>
    <d v="2023-05-28T00:00:00"/>
    <d v="2023-10-22T00:00:00"/>
  </r>
  <r>
    <n v="2988167"/>
    <m/>
    <x v="2"/>
    <x v="1"/>
    <s v="Phone Service"/>
    <s v="Diego"/>
    <x v="3"/>
    <s v="Corporate Tools"/>
    <s v="note"/>
    <s v="Customer"/>
    <x v="1"/>
    <x v="5"/>
    <m/>
    <m/>
    <d v="2023-06-28T00:00:00"/>
    <x v="6"/>
    <x v="3"/>
    <d v="2023-02-22T00:00:00"/>
    <d v="2023-03-01T00:00:00"/>
  </r>
  <r>
    <n v="2181251"/>
    <m/>
    <x v="2"/>
    <x v="2"/>
    <s v="Phone Service"/>
    <s v="Diego"/>
    <x v="3"/>
    <s v="Corporate Tools"/>
    <s v="note"/>
    <s v="Customer"/>
    <x v="0"/>
    <x v="9"/>
    <m/>
    <m/>
    <d v="2023-06-29T00:00:00"/>
    <x v="6"/>
    <x v="3"/>
    <d v="2023-01-15T00:00:00"/>
    <d v="2023-01-02T00:00:00"/>
  </r>
  <r>
    <n v="2969393"/>
    <m/>
    <x v="0"/>
    <x v="2"/>
    <s v="Phone Service"/>
    <s v="Diego"/>
    <x v="3"/>
    <s v="Corporate Tools"/>
    <s v="note"/>
    <s v="Customer"/>
    <x v="2"/>
    <x v="4"/>
    <m/>
    <m/>
    <d v="2023-10-31T00:00:00"/>
    <x v="3"/>
    <x v="2"/>
    <d v="2023-04-01T00:00:00"/>
    <d v="2023-09-08T00:00:00"/>
  </r>
  <r>
    <n v="2325794"/>
    <m/>
    <x v="2"/>
    <x v="0"/>
    <s v="Phone Service"/>
    <s v="Diego"/>
    <x v="2"/>
    <s v="Corporate Tools"/>
    <s v="note"/>
    <s v="Customer"/>
    <x v="2"/>
    <x v="13"/>
    <m/>
    <m/>
    <d v="2023-09-30T00:00:00"/>
    <x v="1"/>
    <x v="1"/>
    <d v="2023-05-25T00:00:00"/>
    <d v="2023-12-23T00:00:00"/>
  </r>
  <r>
    <n v="2953720"/>
    <m/>
    <x v="1"/>
    <x v="1"/>
    <s v="Phone Service"/>
    <s v="Diego"/>
    <x v="2"/>
    <s v="Corporate Tools"/>
    <s v="note"/>
    <s v="Customer"/>
    <x v="3"/>
    <x v="13"/>
    <m/>
    <m/>
    <d v="2024-01-07T00:00:00"/>
    <x v="0"/>
    <x v="0"/>
    <d v="2023-03-22T00:00:00"/>
    <d v="2023-12-24T00:00:00"/>
  </r>
  <r>
    <n v="2545562"/>
    <m/>
    <x v="0"/>
    <x v="0"/>
    <s v="Phone Service"/>
    <s v="Diego"/>
    <x v="1"/>
    <s v="Corporate Tools"/>
    <s v="note"/>
    <s v="Customer"/>
    <x v="2"/>
    <x v="7"/>
    <m/>
    <m/>
    <d v="2023-03-26T00:00:00"/>
    <x v="7"/>
    <x v="0"/>
    <d v="2023-10-21T00:00:00"/>
    <d v="2023-10-31T00:00:00"/>
  </r>
  <r>
    <n v="2419808"/>
    <m/>
    <x v="2"/>
    <x v="0"/>
    <s v="Phone Service"/>
    <s v="Diego"/>
    <x v="1"/>
    <s v="Corporate Tools"/>
    <s v="note"/>
    <s v="Customer"/>
    <x v="3"/>
    <x v="3"/>
    <m/>
    <m/>
    <d v="2023-05-29T00:00:00"/>
    <x v="4"/>
    <x v="3"/>
    <d v="2023-03-23T00:00:00"/>
    <d v="2023-05-21T00:00:00"/>
  </r>
  <r>
    <n v="2265504"/>
    <m/>
    <x v="2"/>
    <x v="2"/>
    <s v="Phone Service"/>
    <s v="Diego"/>
    <x v="1"/>
    <s v="Corporate Tools"/>
    <s v="note"/>
    <s v="Customer"/>
    <x v="0"/>
    <x v="7"/>
    <m/>
    <m/>
    <d v="2023-11-10T00:00:00"/>
    <x v="9"/>
    <x v="2"/>
    <d v="2023-01-26T00:00:00"/>
    <d v="2023-12-25T00:00:00"/>
  </r>
  <r>
    <n v="2510267"/>
    <m/>
    <x v="0"/>
    <x v="1"/>
    <s v="Phone Service"/>
    <s v="Diego"/>
    <x v="3"/>
    <s v="Corporate Tools"/>
    <s v="note"/>
    <s v="Customer"/>
    <x v="1"/>
    <x v="12"/>
    <m/>
    <m/>
    <d v="2023-07-27T00:00:00"/>
    <x v="2"/>
    <x v="1"/>
    <d v="2023-10-27T00:00:00"/>
    <d v="2023-10-19T00:00:00"/>
  </r>
  <r>
    <n v="2805789"/>
    <m/>
    <x v="1"/>
    <x v="2"/>
    <s v="Phone Service"/>
    <s v="Diego"/>
    <x v="2"/>
    <s v="Corporate Tools"/>
    <s v="note"/>
    <s v="Customer"/>
    <x v="0"/>
    <x v="10"/>
    <m/>
    <m/>
    <d v="2024-01-03T00:00:00"/>
    <x v="0"/>
    <x v="0"/>
    <d v="2023-08-20T00:00:00"/>
    <d v="2023-12-03T00:00:00"/>
  </r>
  <r>
    <n v="2183318"/>
    <m/>
    <x v="0"/>
    <x v="1"/>
    <s v="Phone Service"/>
    <s v="Diego"/>
    <x v="0"/>
    <s v="Corporate Tools"/>
    <s v="note"/>
    <s v="Customer"/>
    <x v="0"/>
    <x v="2"/>
    <m/>
    <m/>
    <d v="2023-03-18T00:00:00"/>
    <x v="7"/>
    <x v="0"/>
    <d v="2023-10-14T00:00:00"/>
    <d v="2023-09-27T00:00:00"/>
  </r>
  <r>
    <n v="2659593"/>
    <m/>
    <x v="0"/>
    <x v="1"/>
    <s v="Phone Service"/>
    <s v="Diego"/>
    <x v="2"/>
    <s v="Corporate Tools"/>
    <s v="note"/>
    <s v="Customer"/>
    <x v="3"/>
    <x v="10"/>
    <m/>
    <m/>
    <d v="2023-05-25T00:00:00"/>
    <x v="4"/>
    <x v="3"/>
    <d v="2023-03-27T00:00:00"/>
    <d v="2023-04-02T00:00:00"/>
  </r>
  <r>
    <n v="2569940"/>
    <m/>
    <x v="1"/>
    <x v="2"/>
    <s v="Phone Service"/>
    <s v="Diego"/>
    <x v="2"/>
    <s v="Corporate Tools"/>
    <s v="note"/>
    <s v="Customer"/>
    <x v="2"/>
    <x v="9"/>
    <m/>
    <m/>
    <d v="2023-05-16T00:00:00"/>
    <x v="4"/>
    <x v="3"/>
    <d v="2023-12-24T00:00:00"/>
    <d v="2023-12-15T00:00:00"/>
  </r>
  <r>
    <n v="2757682"/>
    <m/>
    <x v="0"/>
    <x v="0"/>
    <s v="Phone Service"/>
    <s v="Diego"/>
    <x v="3"/>
    <s v="Corporate Tools"/>
    <s v="note"/>
    <s v="Customer"/>
    <x v="1"/>
    <x v="15"/>
    <m/>
    <m/>
    <d v="2023-02-26T00:00:00"/>
    <x v="11"/>
    <x v="0"/>
    <d v="2023-05-31T00:00:00"/>
    <d v="2023-10-25T00:00:00"/>
  </r>
  <r>
    <n v="2357270"/>
    <m/>
    <x v="2"/>
    <x v="1"/>
    <s v="Phone Service"/>
    <s v="Diego"/>
    <x v="1"/>
    <s v="Corporate Tools"/>
    <s v="note"/>
    <s v="Customer"/>
    <x v="0"/>
    <x v="13"/>
    <m/>
    <m/>
    <d v="2023-02-13T00:00:00"/>
    <x v="11"/>
    <x v="0"/>
    <d v="2023-04-21T00:00:00"/>
    <d v="2023-09-18T00:00:00"/>
  </r>
  <r>
    <n v="2278577"/>
    <m/>
    <x v="2"/>
    <x v="1"/>
    <s v="Phone Service"/>
    <s v="Diego"/>
    <x v="1"/>
    <s v="Corporate Tools"/>
    <s v="note"/>
    <s v="Customer"/>
    <x v="0"/>
    <x v="12"/>
    <m/>
    <m/>
    <d v="2023-01-15T00:00:00"/>
    <x v="0"/>
    <x v="0"/>
    <d v="2023-05-09T00:00:00"/>
    <d v="2023-06-25T00:00:00"/>
  </r>
  <r>
    <n v="2833657"/>
    <m/>
    <x v="1"/>
    <x v="1"/>
    <s v="Phone Service"/>
    <s v="Diego"/>
    <x v="1"/>
    <s v="Corporate Tools"/>
    <s v="note"/>
    <s v="Customer"/>
    <x v="1"/>
    <x v="10"/>
    <m/>
    <m/>
    <d v="2023-09-22T00:00:00"/>
    <x v="1"/>
    <x v="1"/>
    <d v="2023-07-18T00:00:00"/>
    <d v="2023-12-13T00:00:00"/>
  </r>
  <r>
    <n v="2590109"/>
    <m/>
    <x v="0"/>
    <x v="0"/>
    <s v="Phone Service"/>
    <s v="Diego"/>
    <x v="0"/>
    <s v="Corporate Tools"/>
    <s v="note"/>
    <s v="Customer"/>
    <x v="2"/>
    <x v="13"/>
    <m/>
    <m/>
    <d v="2023-07-24T00:00:00"/>
    <x v="2"/>
    <x v="1"/>
    <d v="2023-12-09T00:00:00"/>
    <d v="2023-07-20T00:00:00"/>
  </r>
  <r>
    <n v="2323788"/>
    <m/>
    <x v="0"/>
    <x v="2"/>
    <s v="Phone Service"/>
    <s v="Diego"/>
    <x v="2"/>
    <s v="Corporate Tools"/>
    <s v="note"/>
    <s v="Customer"/>
    <x v="0"/>
    <x v="2"/>
    <m/>
    <m/>
    <d v="2023-04-22T00:00:00"/>
    <x v="5"/>
    <x v="3"/>
    <d v="2023-12-24T00:00:00"/>
    <d v="2023-07-07T00:00:00"/>
  </r>
  <r>
    <n v="2120571"/>
    <m/>
    <x v="1"/>
    <x v="1"/>
    <s v="Phone Service"/>
    <s v="Diego"/>
    <x v="0"/>
    <s v="Corporate Tools"/>
    <s v="note"/>
    <s v="Customer"/>
    <x v="1"/>
    <x v="13"/>
    <m/>
    <m/>
    <d v="2023-11-05T00:00:00"/>
    <x v="9"/>
    <x v="2"/>
    <d v="2023-01-15T00:00:00"/>
    <d v="2023-06-06T00:00:00"/>
  </r>
  <r>
    <n v="2187653"/>
    <m/>
    <x v="0"/>
    <x v="1"/>
    <s v="Phone Service"/>
    <s v="Diego"/>
    <x v="0"/>
    <s v="Corporate Tools"/>
    <s v="note"/>
    <s v="Customer"/>
    <x v="3"/>
    <x v="13"/>
    <m/>
    <m/>
    <d v="2023-07-10T00:00:00"/>
    <x v="2"/>
    <x v="1"/>
    <d v="2023-02-25T00:00:00"/>
    <d v="2023-06-13T00:00:00"/>
  </r>
  <r>
    <n v="2770062"/>
    <m/>
    <x v="1"/>
    <x v="0"/>
    <s v="Phone Service"/>
    <s v="Diego"/>
    <x v="1"/>
    <s v="Corporate Tools"/>
    <s v="note"/>
    <s v="Customer"/>
    <x v="0"/>
    <x v="2"/>
    <m/>
    <m/>
    <d v="2023-02-03T00:00:00"/>
    <x v="11"/>
    <x v="0"/>
    <d v="2023-07-30T00:00:00"/>
    <d v="2023-11-25T00:00:00"/>
  </r>
  <r>
    <n v="2056325"/>
    <m/>
    <x v="0"/>
    <x v="1"/>
    <s v="Phone Service"/>
    <s v="Diego"/>
    <x v="2"/>
    <s v="Corporate Tools"/>
    <s v="note"/>
    <s v="Customer"/>
    <x v="3"/>
    <x v="9"/>
    <m/>
    <m/>
    <d v="2023-03-09T00:00:00"/>
    <x v="7"/>
    <x v="0"/>
    <d v="2023-06-12T00:00:00"/>
    <d v="2023-10-11T00:00:00"/>
  </r>
  <r>
    <n v="2084343"/>
    <m/>
    <x v="1"/>
    <x v="2"/>
    <s v="Phone Service"/>
    <s v="Diego"/>
    <x v="2"/>
    <s v="Corporate Tools"/>
    <s v="note"/>
    <s v="Customer"/>
    <x v="2"/>
    <x v="4"/>
    <m/>
    <m/>
    <d v="2023-06-04T00:00:00"/>
    <x v="6"/>
    <x v="3"/>
    <d v="2023-04-22T00:00:00"/>
    <d v="2023-09-10T00:00:00"/>
  </r>
  <r>
    <n v="2195143"/>
    <m/>
    <x v="2"/>
    <x v="0"/>
    <s v="Phone Service"/>
    <s v="Diego"/>
    <x v="2"/>
    <s v="Corporate Tools"/>
    <s v="note"/>
    <s v="Customer"/>
    <x v="3"/>
    <x v="9"/>
    <m/>
    <m/>
    <d v="2023-03-08T00:00:00"/>
    <x v="7"/>
    <x v="0"/>
    <d v="2023-01-21T00:00:00"/>
    <d v="2023-11-15T00:00:00"/>
  </r>
  <r>
    <n v="2086651"/>
    <m/>
    <x v="1"/>
    <x v="0"/>
    <s v="Phone Service"/>
    <s v="Diego"/>
    <x v="3"/>
    <s v="Corporate Tools"/>
    <s v="note"/>
    <s v="Customer"/>
    <x v="2"/>
    <x v="2"/>
    <m/>
    <m/>
    <d v="2023-11-20T00:00:00"/>
    <x v="9"/>
    <x v="2"/>
    <d v="2023-08-29T00:00:00"/>
    <d v="2023-01-27T00:00:00"/>
  </r>
  <r>
    <n v="2751506"/>
    <m/>
    <x v="1"/>
    <x v="0"/>
    <s v="Phone Service"/>
    <s v="Diego"/>
    <x v="0"/>
    <s v="Corporate Tools"/>
    <s v="note"/>
    <s v="Customer"/>
    <x v="0"/>
    <x v="12"/>
    <m/>
    <m/>
    <d v="2023-05-18T00:00:00"/>
    <x v="4"/>
    <x v="3"/>
    <d v="2023-03-29T00:00:00"/>
    <d v="2023-10-27T00:00:00"/>
  </r>
  <r>
    <n v="2543698"/>
    <m/>
    <x v="2"/>
    <x v="0"/>
    <s v="Phone Service"/>
    <s v="Diego"/>
    <x v="2"/>
    <s v="Corporate Tools"/>
    <s v="note"/>
    <s v="Customer"/>
    <x v="1"/>
    <x v="7"/>
    <m/>
    <m/>
    <d v="2023-09-06T00:00:00"/>
    <x v="1"/>
    <x v="1"/>
    <d v="2023-09-07T00:00:00"/>
    <d v="2023-09-12T00:00:00"/>
  </r>
  <r>
    <n v="2053052"/>
    <m/>
    <x v="0"/>
    <x v="1"/>
    <s v="Phone Service"/>
    <s v="Diego"/>
    <x v="0"/>
    <s v="Corporate Tools"/>
    <s v="note"/>
    <s v="Customer"/>
    <x v="2"/>
    <x v="4"/>
    <m/>
    <m/>
    <d v="2023-05-12T00:00:00"/>
    <x v="4"/>
    <x v="3"/>
    <d v="2023-03-31T00:00:00"/>
    <d v="2023-08-07T00:00:00"/>
  </r>
  <r>
    <n v="2257464"/>
    <m/>
    <x v="2"/>
    <x v="2"/>
    <s v="Phone Service"/>
    <s v="Diego"/>
    <x v="3"/>
    <s v="Corporate Tools"/>
    <s v="note"/>
    <s v="Customer"/>
    <x v="0"/>
    <x v="7"/>
    <m/>
    <m/>
    <d v="2023-10-24T00:00:00"/>
    <x v="3"/>
    <x v="2"/>
    <d v="2023-08-11T00:00:00"/>
    <d v="2023-09-27T00:00:00"/>
  </r>
  <r>
    <n v="2281682"/>
    <m/>
    <x v="2"/>
    <x v="2"/>
    <s v="Phone Service"/>
    <s v="Diego"/>
    <x v="1"/>
    <s v="Corporate Tools"/>
    <s v="note"/>
    <s v="Customer"/>
    <x v="2"/>
    <x v="0"/>
    <m/>
    <m/>
    <d v="2023-01-30T00:00:00"/>
    <x v="0"/>
    <x v="0"/>
    <d v="2023-06-17T00:00:00"/>
    <d v="2023-07-24T00:00:00"/>
  </r>
  <r>
    <n v="2920518"/>
    <m/>
    <x v="0"/>
    <x v="0"/>
    <s v="Phone Service"/>
    <s v="Diego"/>
    <x v="1"/>
    <s v="Corporate Tools"/>
    <s v="note"/>
    <s v="Customer"/>
    <x v="2"/>
    <x v="14"/>
    <m/>
    <m/>
    <d v="2023-05-10T00:00:00"/>
    <x v="4"/>
    <x v="3"/>
    <d v="2023-09-19T00:00:00"/>
    <d v="2023-09-04T00:00:00"/>
  </r>
  <r>
    <n v="2441788"/>
    <m/>
    <x v="0"/>
    <x v="2"/>
    <s v="Phone Service"/>
    <s v="Diego"/>
    <x v="0"/>
    <s v="Corporate Tools"/>
    <s v="note"/>
    <s v="Customer"/>
    <x v="3"/>
    <x v="2"/>
    <m/>
    <m/>
    <d v="2023-07-26T00:00:00"/>
    <x v="2"/>
    <x v="1"/>
    <d v="2023-07-10T00:00:00"/>
    <d v="2023-01-29T00:00:00"/>
  </r>
  <r>
    <n v="2025913"/>
    <m/>
    <x v="1"/>
    <x v="2"/>
    <s v="Phone Service"/>
    <s v="Diego"/>
    <x v="0"/>
    <s v="Corporate Tools"/>
    <s v="note"/>
    <s v="Customer"/>
    <x v="1"/>
    <x v="10"/>
    <m/>
    <m/>
    <d v="2023-11-15T00:00:00"/>
    <x v="9"/>
    <x v="2"/>
    <d v="2023-08-22T00:00:00"/>
    <d v="2023-03-04T00:00:00"/>
  </r>
  <r>
    <n v="2403391"/>
    <m/>
    <x v="0"/>
    <x v="1"/>
    <s v="Phone Service"/>
    <s v="Diego"/>
    <x v="2"/>
    <s v="Corporate Tools"/>
    <s v="note"/>
    <s v="Customer"/>
    <x v="0"/>
    <x v="0"/>
    <m/>
    <m/>
    <d v="2023-03-05T00:00:00"/>
    <x v="7"/>
    <x v="0"/>
    <d v="2023-01-03T00:00:00"/>
    <d v="2023-05-27T00:00:00"/>
  </r>
  <r>
    <n v="2078509"/>
    <m/>
    <x v="2"/>
    <x v="1"/>
    <s v="Phone Service"/>
    <s v="Diego"/>
    <x v="0"/>
    <s v="Corporate Tools"/>
    <s v="note"/>
    <s v="Customer"/>
    <x v="2"/>
    <x v="9"/>
    <m/>
    <m/>
    <d v="2023-06-05T00:00:00"/>
    <x v="6"/>
    <x v="3"/>
    <d v="2023-07-24T00:00:00"/>
    <d v="2023-04-14T00:00:00"/>
  </r>
  <r>
    <n v="2819509"/>
    <m/>
    <x v="0"/>
    <x v="2"/>
    <s v="Phone Service"/>
    <s v="Diego"/>
    <x v="1"/>
    <s v="Corporate Tools"/>
    <s v="note"/>
    <s v="Customer"/>
    <x v="0"/>
    <x v="9"/>
    <m/>
    <m/>
    <d v="2023-02-25T00:00:00"/>
    <x v="11"/>
    <x v="0"/>
    <d v="2023-03-02T00:00:00"/>
    <d v="2023-03-07T00:00:00"/>
  </r>
  <r>
    <n v="2554452"/>
    <m/>
    <x v="2"/>
    <x v="1"/>
    <s v="Phone Service"/>
    <s v="Diego"/>
    <x v="2"/>
    <s v="Corporate Tools"/>
    <s v="note"/>
    <s v="Customer"/>
    <x v="0"/>
    <x v="14"/>
    <m/>
    <m/>
    <d v="2023-10-01T00:00:00"/>
    <x v="3"/>
    <x v="2"/>
    <d v="2023-04-10T00:00:00"/>
    <d v="2023-10-11T00:00:00"/>
  </r>
  <r>
    <n v="2869137"/>
    <m/>
    <x v="0"/>
    <x v="0"/>
    <s v="Phone Service"/>
    <s v="Diego"/>
    <x v="0"/>
    <s v="Corporate Tools"/>
    <s v="note"/>
    <s v="Customer"/>
    <x v="1"/>
    <x v="1"/>
    <m/>
    <m/>
    <d v="2023-01-14T00:00:00"/>
    <x v="0"/>
    <x v="0"/>
    <d v="2023-02-06T00:00:00"/>
    <d v="2023-09-28T00:00:00"/>
  </r>
  <r>
    <n v="2858125"/>
    <m/>
    <x v="1"/>
    <x v="2"/>
    <s v="Phone Service"/>
    <s v="Diego"/>
    <x v="2"/>
    <s v="Corporate Tools"/>
    <s v="note"/>
    <s v="Customer"/>
    <x v="0"/>
    <x v="13"/>
    <m/>
    <m/>
    <d v="2023-12-26T00:00:00"/>
    <x v="10"/>
    <x v="2"/>
    <d v="2023-07-22T00:00:00"/>
    <d v="2023-10-06T00:00:00"/>
  </r>
  <r>
    <n v="2878712"/>
    <m/>
    <x v="2"/>
    <x v="0"/>
    <s v="Phone Service"/>
    <s v="Diego"/>
    <x v="0"/>
    <s v="Corporate Tools"/>
    <s v="note"/>
    <s v="Customer"/>
    <x v="2"/>
    <x v="5"/>
    <m/>
    <m/>
    <d v="2023-01-15T00:00:00"/>
    <x v="0"/>
    <x v="0"/>
    <d v="2023-11-03T00:00:00"/>
    <d v="2023-06-23T00:00:00"/>
  </r>
  <r>
    <n v="2767399"/>
    <m/>
    <x v="2"/>
    <x v="2"/>
    <s v="Phone Service"/>
    <s v="Diego"/>
    <x v="1"/>
    <s v="Corporate Tools"/>
    <s v="note"/>
    <s v="Customer"/>
    <x v="2"/>
    <x v="10"/>
    <m/>
    <m/>
    <d v="2023-08-24T00:00:00"/>
    <x v="8"/>
    <x v="1"/>
    <d v="2023-06-13T00:00:00"/>
    <d v="2023-04-07T00:00:00"/>
  </r>
  <r>
    <n v="2289572"/>
    <m/>
    <x v="0"/>
    <x v="2"/>
    <s v="Phone Service"/>
    <s v="Diego"/>
    <x v="3"/>
    <s v="Corporate Tools"/>
    <s v="note"/>
    <s v="Customer"/>
    <x v="2"/>
    <x v="14"/>
    <m/>
    <m/>
    <d v="2023-09-09T00:00:00"/>
    <x v="1"/>
    <x v="1"/>
    <d v="2023-12-21T00:00:00"/>
    <d v="2023-06-06T00:00:00"/>
  </r>
  <r>
    <n v="2050128"/>
    <m/>
    <x v="0"/>
    <x v="0"/>
    <s v="Phone Service"/>
    <s v="Diego"/>
    <x v="2"/>
    <s v="Corporate Tools"/>
    <s v="note"/>
    <s v="Customer"/>
    <x v="2"/>
    <x v="13"/>
    <m/>
    <m/>
    <d v="2023-10-23T00:00:00"/>
    <x v="3"/>
    <x v="2"/>
    <d v="2023-06-13T00:00:00"/>
    <d v="2023-02-18T00:00:00"/>
  </r>
  <r>
    <n v="2991574"/>
    <m/>
    <x v="1"/>
    <x v="1"/>
    <s v="Phone Service"/>
    <s v="Diego"/>
    <x v="1"/>
    <s v="Corporate Tools"/>
    <s v="note"/>
    <s v="Customer"/>
    <x v="1"/>
    <x v="9"/>
    <m/>
    <m/>
    <d v="2023-09-19T00:00:00"/>
    <x v="1"/>
    <x v="1"/>
    <d v="2023-06-22T00:00:00"/>
    <d v="2023-12-28T00:00:00"/>
  </r>
  <r>
    <n v="2290670"/>
    <m/>
    <x v="2"/>
    <x v="2"/>
    <s v="Phone Service"/>
    <s v="Diego"/>
    <x v="2"/>
    <s v="Corporate Tools"/>
    <s v="note"/>
    <s v="Customer"/>
    <x v="0"/>
    <x v="2"/>
    <m/>
    <m/>
    <d v="2023-07-31T00:00:00"/>
    <x v="2"/>
    <x v="1"/>
    <d v="2024-01-04T00:00:00"/>
    <d v="2023-03-26T00:00:00"/>
  </r>
  <r>
    <n v="2590166"/>
    <m/>
    <x v="1"/>
    <x v="1"/>
    <s v="Phone Service"/>
    <s v="Diego"/>
    <x v="0"/>
    <s v="Corporate Tools"/>
    <s v="note"/>
    <s v="Customer"/>
    <x v="3"/>
    <x v="14"/>
    <m/>
    <m/>
    <d v="2023-08-12T00:00:00"/>
    <x v="8"/>
    <x v="1"/>
    <d v="2023-04-03T00:00:00"/>
    <d v="2023-02-11T00:00:00"/>
  </r>
  <r>
    <n v="2570783"/>
    <m/>
    <x v="0"/>
    <x v="1"/>
    <s v="Phone Service"/>
    <s v="Diego"/>
    <x v="3"/>
    <s v="Corporate Tools"/>
    <s v="note"/>
    <s v="Customer"/>
    <x v="2"/>
    <x v="4"/>
    <m/>
    <m/>
    <d v="2023-01-27T00:00:00"/>
    <x v="0"/>
    <x v="0"/>
    <d v="2023-12-21T00:00:00"/>
    <d v="2023-02-26T00:00:00"/>
  </r>
  <r>
    <n v="2892922"/>
    <m/>
    <x v="0"/>
    <x v="0"/>
    <s v="Phone Service"/>
    <s v="Diego"/>
    <x v="1"/>
    <s v="Corporate Tools"/>
    <s v="note"/>
    <s v="Customer"/>
    <x v="1"/>
    <x v="8"/>
    <m/>
    <m/>
    <d v="2023-06-24T00:00:00"/>
    <x v="6"/>
    <x v="3"/>
    <d v="2023-11-02T00:00:00"/>
    <d v="2023-11-17T00:00:00"/>
  </r>
  <r>
    <n v="2471806"/>
    <m/>
    <x v="2"/>
    <x v="0"/>
    <s v="Phone Service"/>
    <s v="Diego"/>
    <x v="2"/>
    <s v="Corporate Tools"/>
    <s v="note"/>
    <s v="Customer"/>
    <x v="1"/>
    <x v="11"/>
    <m/>
    <m/>
    <d v="2023-02-10T00:00:00"/>
    <x v="11"/>
    <x v="0"/>
    <d v="2023-06-04T00:00:00"/>
    <d v="2023-05-14T00:00:00"/>
  </r>
  <r>
    <n v="2070747"/>
    <m/>
    <x v="2"/>
    <x v="1"/>
    <s v="Phone Service"/>
    <s v="Diego"/>
    <x v="0"/>
    <s v="Corporate Tools"/>
    <s v="note"/>
    <s v="Customer"/>
    <x v="1"/>
    <x v="15"/>
    <m/>
    <m/>
    <d v="2023-07-09T00:00:00"/>
    <x v="2"/>
    <x v="1"/>
    <d v="2023-09-09T00:00:00"/>
    <d v="2023-12-25T00:00:00"/>
  </r>
  <r>
    <n v="2555591"/>
    <m/>
    <x v="0"/>
    <x v="1"/>
    <s v="Phone Service"/>
    <s v="Diego"/>
    <x v="2"/>
    <s v="Corporate Tools"/>
    <s v="note"/>
    <s v="Customer"/>
    <x v="0"/>
    <x v="3"/>
    <m/>
    <m/>
    <d v="2023-07-25T00:00:00"/>
    <x v="2"/>
    <x v="1"/>
    <d v="2023-08-29T00:00:00"/>
    <d v="2023-09-10T00:00:00"/>
  </r>
  <r>
    <n v="2415125"/>
    <m/>
    <x v="0"/>
    <x v="0"/>
    <s v="Phone Service"/>
    <s v="Diego"/>
    <x v="3"/>
    <s v="Corporate Tools"/>
    <s v="note"/>
    <s v="Customer"/>
    <x v="0"/>
    <x v="10"/>
    <m/>
    <m/>
    <d v="2023-09-22T00:00:00"/>
    <x v="1"/>
    <x v="1"/>
    <d v="2023-08-26T00:00:00"/>
    <d v="2023-02-11T00:00:00"/>
  </r>
  <r>
    <n v="2532820"/>
    <m/>
    <x v="0"/>
    <x v="1"/>
    <s v="Phone Service"/>
    <s v="Diego"/>
    <x v="0"/>
    <s v="Corporate Tools"/>
    <s v="note"/>
    <s v="Customer"/>
    <x v="3"/>
    <x v="10"/>
    <m/>
    <m/>
    <d v="2023-01-27T00:00:00"/>
    <x v="0"/>
    <x v="0"/>
    <d v="2023-12-30T00:00:00"/>
    <d v="2023-05-04T00:00:00"/>
  </r>
  <r>
    <n v="2480800"/>
    <m/>
    <x v="0"/>
    <x v="0"/>
    <s v="Phone Service"/>
    <s v="Diego"/>
    <x v="0"/>
    <s v="Corporate Tools"/>
    <s v="note"/>
    <s v="Customer"/>
    <x v="0"/>
    <x v="9"/>
    <m/>
    <m/>
    <d v="2023-09-04T00:00:00"/>
    <x v="1"/>
    <x v="1"/>
    <d v="2023-05-28T00:00:00"/>
    <d v="2023-12-13T00:00:00"/>
  </r>
  <r>
    <n v="2759168"/>
    <m/>
    <x v="2"/>
    <x v="2"/>
    <s v="Phone Service"/>
    <s v="Diego"/>
    <x v="2"/>
    <s v="Corporate Tools"/>
    <s v="note"/>
    <s v="Customer"/>
    <x v="0"/>
    <x v="0"/>
    <m/>
    <m/>
    <d v="2023-06-24T00:00:00"/>
    <x v="6"/>
    <x v="3"/>
    <d v="2023-05-18T00:00:00"/>
    <d v="2023-07-05T00:00:00"/>
  </r>
  <r>
    <n v="2239176"/>
    <m/>
    <x v="2"/>
    <x v="0"/>
    <s v="Phone Service"/>
    <s v="Diego"/>
    <x v="2"/>
    <s v="Corporate Tools"/>
    <s v="note"/>
    <s v="Customer"/>
    <x v="3"/>
    <x v="6"/>
    <m/>
    <m/>
    <d v="2023-11-23T00:00:00"/>
    <x v="9"/>
    <x v="2"/>
    <d v="2023-02-22T00:00:00"/>
    <d v="2023-09-11T00:00:00"/>
  </r>
  <r>
    <n v="2660199"/>
    <m/>
    <x v="1"/>
    <x v="0"/>
    <s v="Phone Service"/>
    <s v="Diego"/>
    <x v="2"/>
    <s v="Corporate Tools"/>
    <s v="note"/>
    <s v="Customer"/>
    <x v="0"/>
    <x v="13"/>
    <m/>
    <m/>
    <d v="2023-05-04T00:00:00"/>
    <x v="4"/>
    <x v="3"/>
    <d v="2023-03-12T00:00:00"/>
    <d v="2023-08-18T00:00:00"/>
  </r>
  <r>
    <n v="2524996"/>
    <m/>
    <x v="0"/>
    <x v="0"/>
    <s v="Phone Service"/>
    <s v="Diego"/>
    <x v="1"/>
    <s v="Corporate Tools"/>
    <s v="note"/>
    <s v="Customer"/>
    <x v="1"/>
    <x v="4"/>
    <m/>
    <m/>
    <d v="2023-10-27T00:00:00"/>
    <x v="3"/>
    <x v="2"/>
    <d v="2023-07-15T00:00:00"/>
    <d v="2023-03-16T00:00:00"/>
  </r>
  <r>
    <n v="2859532"/>
    <m/>
    <x v="2"/>
    <x v="0"/>
    <s v="Phone Service"/>
    <s v="Diego"/>
    <x v="1"/>
    <s v="Corporate Tools"/>
    <s v="note"/>
    <s v="Customer"/>
    <x v="1"/>
    <x v="10"/>
    <m/>
    <m/>
    <d v="2023-11-29T00:00:00"/>
    <x v="9"/>
    <x v="2"/>
    <d v="2023-09-02T00:00:00"/>
    <d v="2023-07-20T00:00:00"/>
  </r>
  <r>
    <n v="2632379"/>
    <m/>
    <x v="1"/>
    <x v="1"/>
    <s v="Phone Service"/>
    <s v="Diego"/>
    <x v="1"/>
    <s v="Corporate Tools"/>
    <s v="note"/>
    <s v="Customer"/>
    <x v="0"/>
    <x v="0"/>
    <m/>
    <m/>
    <d v="2023-04-26T00:00:00"/>
    <x v="5"/>
    <x v="3"/>
    <d v="2023-07-17T00:00:00"/>
    <d v="2023-05-14T00:00:00"/>
  </r>
  <r>
    <n v="2156157"/>
    <m/>
    <x v="1"/>
    <x v="1"/>
    <s v="Phone Service"/>
    <s v="Diego"/>
    <x v="1"/>
    <s v="Corporate Tools"/>
    <s v="note"/>
    <s v="Customer"/>
    <x v="0"/>
    <x v="6"/>
    <m/>
    <m/>
    <d v="2023-04-15T00:00:00"/>
    <x v="5"/>
    <x v="3"/>
    <d v="2023-12-08T00:00:00"/>
    <d v="2023-12-22T00:00:00"/>
  </r>
  <r>
    <n v="2302545"/>
    <m/>
    <x v="2"/>
    <x v="2"/>
    <s v="Phone Service"/>
    <s v="Diego"/>
    <x v="1"/>
    <s v="Corporate Tools"/>
    <s v="note"/>
    <s v="Customer"/>
    <x v="1"/>
    <x v="5"/>
    <m/>
    <m/>
    <d v="2023-10-24T00:00:00"/>
    <x v="3"/>
    <x v="2"/>
    <d v="2023-10-23T00:00:00"/>
    <d v="2023-02-07T00:00:00"/>
  </r>
  <r>
    <n v="2547432"/>
    <m/>
    <x v="2"/>
    <x v="1"/>
    <s v="Phone Service"/>
    <s v="Diego"/>
    <x v="3"/>
    <s v="Corporate Tools"/>
    <s v="note"/>
    <s v="Customer"/>
    <x v="3"/>
    <x v="3"/>
    <m/>
    <m/>
    <d v="2023-06-22T00:00:00"/>
    <x v="6"/>
    <x v="3"/>
    <d v="2023-03-17T00:00:00"/>
    <d v="2023-11-15T00:00:00"/>
  </r>
  <r>
    <n v="2248565"/>
    <m/>
    <x v="1"/>
    <x v="0"/>
    <s v="Phone Service"/>
    <s v="Diego"/>
    <x v="2"/>
    <s v="Corporate Tools"/>
    <s v="note"/>
    <s v="Customer"/>
    <x v="0"/>
    <x v="4"/>
    <m/>
    <m/>
    <d v="2023-11-05T00:00:00"/>
    <x v="9"/>
    <x v="2"/>
    <d v="2023-04-08T00:00:00"/>
    <d v="2023-10-25T00:00:00"/>
  </r>
  <r>
    <n v="2144882"/>
    <m/>
    <x v="1"/>
    <x v="0"/>
    <s v="Phone Service"/>
    <s v="Diego"/>
    <x v="0"/>
    <s v="Corporate Tools"/>
    <s v="note"/>
    <s v="Customer"/>
    <x v="1"/>
    <x v="12"/>
    <m/>
    <m/>
    <d v="2023-05-01T00:00:00"/>
    <x v="4"/>
    <x v="3"/>
    <d v="2023-08-20T00:00:00"/>
    <d v="2023-02-19T00:00:00"/>
  </r>
  <r>
    <n v="2541506"/>
    <m/>
    <x v="0"/>
    <x v="0"/>
    <s v="Phone Service"/>
    <s v="Diego"/>
    <x v="3"/>
    <s v="Corporate Tools"/>
    <s v="note"/>
    <s v="Customer"/>
    <x v="0"/>
    <x v="12"/>
    <m/>
    <m/>
    <d v="2023-06-18T00:00:00"/>
    <x v="6"/>
    <x v="3"/>
    <d v="2023-11-28T00:00:00"/>
    <d v="2023-08-26T00:00:00"/>
  </r>
  <r>
    <n v="2899866"/>
    <m/>
    <x v="2"/>
    <x v="0"/>
    <s v="Phone Service"/>
    <s v="Diego"/>
    <x v="1"/>
    <s v="Corporate Tools"/>
    <s v="note"/>
    <s v="Customer"/>
    <x v="2"/>
    <x v="15"/>
    <m/>
    <m/>
    <d v="2023-11-29T00:00:00"/>
    <x v="9"/>
    <x v="2"/>
    <d v="2023-07-23T00:00:00"/>
    <d v="2023-09-19T00:00:00"/>
  </r>
  <r>
    <n v="2014092"/>
    <m/>
    <x v="0"/>
    <x v="1"/>
    <s v="Phone Service"/>
    <s v="Diego"/>
    <x v="2"/>
    <s v="Corporate Tools"/>
    <s v="note"/>
    <s v="Customer"/>
    <x v="0"/>
    <x v="0"/>
    <m/>
    <m/>
    <d v="2023-02-27T00:00:00"/>
    <x v="11"/>
    <x v="0"/>
    <d v="2023-07-07T00:00:00"/>
    <d v="2023-06-05T00:00:00"/>
  </r>
  <r>
    <n v="2292168"/>
    <m/>
    <x v="1"/>
    <x v="0"/>
    <s v="Phone Service"/>
    <s v="Diego"/>
    <x v="2"/>
    <s v="Corporate Tools"/>
    <s v="note"/>
    <s v="Customer"/>
    <x v="2"/>
    <x v="14"/>
    <m/>
    <m/>
    <d v="2023-03-24T00:00:00"/>
    <x v="7"/>
    <x v="0"/>
    <d v="2023-12-24T00:00:00"/>
    <d v="2023-09-09T00:00:00"/>
  </r>
  <r>
    <n v="2892949"/>
    <m/>
    <x v="2"/>
    <x v="1"/>
    <s v="Phone Service"/>
    <s v="Diego"/>
    <x v="1"/>
    <s v="Corporate Tools"/>
    <s v="note"/>
    <s v="Customer"/>
    <x v="2"/>
    <x v="14"/>
    <m/>
    <m/>
    <d v="2023-02-28T00:00:00"/>
    <x v="11"/>
    <x v="0"/>
    <d v="2023-07-11T00:00:00"/>
    <d v="2023-03-20T00:00:00"/>
  </r>
  <r>
    <n v="2364942"/>
    <m/>
    <x v="0"/>
    <x v="0"/>
    <s v="Phone Service"/>
    <s v="Diego"/>
    <x v="0"/>
    <s v="Corporate Tools"/>
    <s v="note"/>
    <s v="Customer"/>
    <x v="1"/>
    <x v="6"/>
    <m/>
    <m/>
    <d v="2023-10-23T00:00:00"/>
    <x v="3"/>
    <x v="2"/>
    <d v="2023-09-22T00:00:00"/>
    <d v="2023-12-25T00:00:00"/>
  </r>
  <r>
    <n v="2076560"/>
    <m/>
    <x v="1"/>
    <x v="1"/>
    <s v="Phone Service"/>
    <s v="Diego"/>
    <x v="1"/>
    <s v="Corporate Tools"/>
    <s v="note"/>
    <s v="Customer"/>
    <x v="0"/>
    <x v="11"/>
    <m/>
    <m/>
    <d v="2023-01-30T00:00:00"/>
    <x v="0"/>
    <x v="0"/>
    <d v="2023-10-11T00:00:00"/>
    <d v="2023-09-29T00:00:00"/>
  </r>
  <r>
    <n v="2563912"/>
    <m/>
    <x v="0"/>
    <x v="1"/>
    <s v="Phone Service"/>
    <s v="Diego"/>
    <x v="2"/>
    <s v="Corporate Tools"/>
    <s v="note"/>
    <s v="Customer"/>
    <x v="2"/>
    <x v="13"/>
    <m/>
    <m/>
    <d v="2023-04-17T00:00:00"/>
    <x v="5"/>
    <x v="3"/>
    <d v="2023-11-16T00:00:00"/>
    <d v="2023-04-16T00:00:00"/>
  </r>
  <r>
    <n v="2360484"/>
    <m/>
    <x v="0"/>
    <x v="2"/>
    <s v="Phone Service"/>
    <s v="Diego"/>
    <x v="2"/>
    <s v="Corporate Tools"/>
    <s v="note"/>
    <s v="Customer"/>
    <x v="3"/>
    <x v="6"/>
    <m/>
    <m/>
    <d v="2023-04-24T00:00:00"/>
    <x v="5"/>
    <x v="3"/>
    <d v="2023-09-12T00:00:00"/>
    <d v="2023-11-11T00:00:00"/>
  </r>
  <r>
    <n v="2074426"/>
    <m/>
    <x v="0"/>
    <x v="1"/>
    <s v="Phone Service"/>
    <s v="Diego"/>
    <x v="0"/>
    <s v="Corporate Tools"/>
    <s v="note"/>
    <s v="Customer"/>
    <x v="3"/>
    <x v="1"/>
    <m/>
    <m/>
    <d v="2023-02-28T00:00:00"/>
    <x v="11"/>
    <x v="0"/>
    <d v="2023-09-09T00:00:00"/>
    <d v="2023-01-11T00:00:00"/>
  </r>
  <r>
    <n v="2469015"/>
    <m/>
    <x v="2"/>
    <x v="0"/>
    <s v="Phone Service"/>
    <s v="Diego"/>
    <x v="0"/>
    <s v="Corporate Tools"/>
    <s v="note"/>
    <s v="Customer"/>
    <x v="2"/>
    <x v="15"/>
    <m/>
    <m/>
    <d v="2023-09-19T00:00:00"/>
    <x v="1"/>
    <x v="1"/>
    <d v="2023-07-05T00:00:00"/>
    <d v="2023-07-20T00:00:00"/>
  </r>
  <r>
    <n v="2772302"/>
    <m/>
    <x v="0"/>
    <x v="1"/>
    <s v="Phone Service"/>
    <s v="Diego"/>
    <x v="0"/>
    <s v="Corporate Tools"/>
    <s v="note"/>
    <s v="Customer"/>
    <x v="0"/>
    <x v="7"/>
    <m/>
    <m/>
    <d v="2023-12-17T00:00:00"/>
    <x v="10"/>
    <x v="2"/>
    <d v="2023-11-11T00:00:00"/>
    <d v="2023-12-20T00:00:00"/>
  </r>
  <r>
    <n v="2672328"/>
    <m/>
    <x v="0"/>
    <x v="2"/>
    <s v="Phone Service"/>
    <s v="Diego"/>
    <x v="3"/>
    <s v="Corporate Tools"/>
    <s v="note"/>
    <s v="Customer"/>
    <x v="2"/>
    <x v="10"/>
    <m/>
    <m/>
    <d v="2023-04-14T00:00:00"/>
    <x v="5"/>
    <x v="3"/>
    <d v="2023-09-12T00:00:00"/>
    <d v="2023-07-20T00:00:00"/>
  </r>
  <r>
    <n v="2646535"/>
    <m/>
    <x v="2"/>
    <x v="0"/>
    <s v="Phone Service"/>
    <s v="Diego"/>
    <x v="1"/>
    <s v="Corporate Tools"/>
    <s v="note"/>
    <s v="Customer"/>
    <x v="2"/>
    <x v="9"/>
    <m/>
    <m/>
    <d v="2023-04-05T00:00:00"/>
    <x v="5"/>
    <x v="3"/>
    <d v="2023-09-28T00:00:00"/>
    <d v="2023-04-20T00:00:00"/>
  </r>
  <r>
    <n v="2313190"/>
    <m/>
    <x v="0"/>
    <x v="0"/>
    <s v="Phone Service"/>
    <s v="Diego"/>
    <x v="0"/>
    <s v="Corporate Tools"/>
    <s v="note"/>
    <s v="Customer"/>
    <x v="1"/>
    <x v="4"/>
    <m/>
    <m/>
    <d v="2023-12-19T00:00:00"/>
    <x v="10"/>
    <x v="2"/>
    <d v="2023-01-12T00:00:00"/>
    <d v="2023-05-15T00:00:00"/>
  </r>
  <r>
    <n v="2835027"/>
    <m/>
    <x v="2"/>
    <x v="2"/>
    <s v="Phone Service"/>
    <s v="Diego"/>
    <x v="0"/>
    <s v="Corporate Tools"/>
    <s v="note"/>
    <s v="Customer"/>
    <x v="1"/>
    <x v="7"/>
    <m/>
    <m/>
    <d v="2023-11-03T00:00:00"/>
    <x v="9"/>
    <x v="2"/>
    <d v="2023-07-11T00:00:00"/>
    <d v="2023-02-27T00:00:00"/>
  </r>
  <r>
    <n v="2140928"/>
    <m/>
    <x v="2"/>
    <x v="2"/>
    <s v="Phone Service"/>
    <s v="Diego"/>
    <x v="1"/>
    <s v="Corporate Tools"/>
    <s v="note"/>
    <s v="Customer"/>
    <x v="2"/>
    <x v="5"/>
    <m/>
    <m/>
    <d v="2023-03-17T00:00:00"/>
    <x v="7"/>
    <x v="0"/>
    <d v="2023-09-14T00:00:00"/>
    <d v="2023-01-15T00:00:00"/>
  </r>
  <r>
    <n v="2477776"/>
    <m/>
    <x v="0"/>
    <x v="2"/>
    <s v="Phone Service"/>
    <s v="Diego"/>
    <x v="2"/>
    <s v="Corporate Tools"/>
    <s v="note"/>
    <s v="Customer"/>
    <x v="1"/>
    <x v="14"/>
    <m/>
    <m/>
    <d v="2023-07-19T00:00:00"/>
    <x v="2"/>
    <x v="1"/>
    <d v="2023-11-04T00:00:00"/>
    <d v="2023-04-22T00:00:00"/>
  </r>
  <r>
    <n v="2915072"/>
    <m/>
    <x v="2"/>
    <x v="0"/>
    <s v="Phone Service"/>
    <s v="Diego"/>
    <x v="1"/>
    <s v="Corporate Tools"/>
    <s v="note"/>
    <s v="Customer"/>
    <x v="2"/>
    <x v="1"/>
    <m/>
    <m/>
    <d v="2023-04-09T00:00:00"/>
    <x v="5"/>
    <x v="3"/>
    <d v="2024-01-01T00:00:00"/>
    <d v="2023-11-05T00:00:00"/>
  </r>
  <r>
    <n v="2459639"/>
    <m/>
    <x v="2"/>
    <x v="2"/>
    <s v="Phone Service"/>
    <s v="Diego"/>
    <x v="3"/>
    <s v="Corporate Tools"/>
    <s v="note"/>
    <s v="Customer"/>
    <x v="2"/>
    <x v="13"/>
    <m/>
    <m/>
    <d v="2023-12-09T00:00:00"/>
    <x v="10"/>
    <x v="2"/>
    <d v="2023-06-30T00:00:00"/>
    <d v="2023-12-25T00:00:00"/>
  </r>
  <r>
    <n v="2729011"/>
    <m/>
    <x v="0"/>
    <x v="2"/>
    <s v="Phone Service"/>
    <s v="Diego"/>
    <x v="0"/>
    <s v="Corporate Tools"/>
    <s v="note"/>
    <s v="Customer"/>
    <x v="0"/>
    <x v="0"/>
    <m/>
    <m/>
    <d v="2023-11-24T00:00:00"/>
    <x v="9"/>
    <x v="2"/>
    <d v="2023-04-21T00:00:00"/>
    <d v="2023-10-10T00:00:00"/>
  </r>
  <r>
    <n v="2517958"/>
    <m/>
    <x v="2"/>
    <x v="1"/>
    <s v="Phone Service"/>
    <s v="Diego"/>
    <x v="2"/>
    <s v="Corporate Tools"/>
    <s v="note"/>
    <s v="Customer"/>
    <x v="3"/>
    <x v="14"/>
    <m/>
    <m/>
    <d v="2023-03-11T00:00:00"/>
    <x v="7"/>
    <x v="0"/>
    <d v="2023-09-10T00:00:00"/>
    <d v="2023-07-30T00:00:00"/>
  </r>
  <r>
    <n v="2666047"/>
    <m/>
    <x v="1"/>
    <x v="1"/>
    <s v="Phone Service"/>
    <s v="Diego"/>
    <x v="3"/>
    <s v="Corporate Tools"/>
    <s v="note"/>
    <s v="Customer"/>
    <x v="2"/>
    <x v="2"/>
    <m/>
    <m/>
    <d v="2023-01-02T00:00:00"/>
    <x v="0"/>
    <x v="0"/>
    <d v="2023-03-19T00:00:00"/>
    <d v="2023-02-17T00:00:00"/>
  </r>
  <r>
    <n v="2563770"/>
    <m/>
    <x v="0"/>
    <x v="1"/>
    <s v="Phone Service"/>
    <s v="Diego"/>
    <x v="2"/>
    <s v="Corporate Tools"/>
    <s v="note"/>
    <s v="Customer"/>
    <x v="3"/>
    <x v="4"/>
    <m/>
    <m/>
    <d v="2023-07-04T00:00:00"/>
    <x v="2"/>
    <x v="1"/>
    <d v="2023-07-16T00:00:00"/>
    <d v="2023-11-24T00:00:00"/>
  </r>
  <r>
    <n v="2703852"/>
    <m/>
    <x v="2"/>
    <x v="1"/>
    <s v="Phone Service"/>
    <s v="Diego"/>
    <x v="0"/>
    <s v="Corporate Tools"/>
    <s v="note"/>
    <s v="Customer"/>
    <x v="1"/>
    <x v="9"/>
    <m/>
    <m/>
    <d v="2023-08-12T00:00:00"/>
    <x v="8"/>
    <x v="1"/>
    <d v="2023-08-19T00:00:00"/>
    <d v="2023-07-14T00:00:00"/>
  </r>
  <r>
    <n v="2381812"/>
    <m/>
    <x v="0"/>
    <x v="2"/>
    <s v="Phone Service"/>
    <s v="Diego"/>
    <x v="0"/>
    <s v="Corporate Tools"/>
    <s v="note"/>
    <s v="Customer"/>
    <x v="0"/>
    <x v="15"/>
    <m/>
    <m/>
    <d v="2023-05-27T00:00:00"/>
    <x v="4"/>
    <x v="3"/>
    <d v="2023-11-27T00:00:00"/>
    <d v="2023-02-26T00:00:00"/>
  </r>
  <r>
    <n v="2845950"/>
    <m/>
    <x v="0"/>
    <x v="1"/>
    <s v="Phone Service"/>
    <s v="Diego"/>
    <x v="3"/>
    <s v="Corporate Tools"/>
    <s v="note"/>
    <s v="Customer"/>
    <x v="1"/>
    <x v="9"/>
    <m/>
    <m/>
    <d v="2023-02-09T00:00:00"/>
    <x v="11"/>
    <x v="0"/>
    <d v="2023-06-30T00:00:00"/>
    <d v="2023-11-24T00:00:00"/>
  </r>
  <r>
    <n v="2609249"/>
    <m/>
    <x v="1"/>
    <x v="1"/>
    <s v="Phone Service"/>
    <s v="Diego"/>
    <x v="2"/>
    <s v="Corporate Tools"/>
    <s v="note"/>
    <s v="Customer"/>
    <x v="0"/>
    <x v="6"/>
    <m/>
    <m/>
    <d v="2023-10-07T00:00:00"/>
    <x v="3"/>
    <x v="2"/>
    <d v="2023-08-20T00:00:00"/>
    <d v="2023-04-22T00:00:00"/>
  </r>
  <r>
    <n v="2765847"/>
    <m/>
    <x v="1"/>
    <x v="2"/>
    <s v="Phone Service"/>
    <s v="Diego"/>
    <x v="0"/>
    <s v="Corporate Tools"/>
    <s v="note"/>
    <s v="Customer"/>
    <x v="2"/>
    <x v="4"/>
    <m/>
    <m/>
    <d v="2023-08-22T00:00:00"/>
    <x v="8"/>
    <x v="1"/>
    <d v="2023-01-11T00:00:00"/>
    <d v="2023-10-24T00:00:00"/>
  </r>
  <r>
    <n v="2281701"/>
    <m/>
    <x v="2"/>
    <x v="1"/>
    <s v="Phone Service"/>
    <s v="Diego"/>
    <x v="0"/>
    <s v="Corporate Tools"/>
    <s v="note"/>
    <s v="Customer"/>
    <x v="1"/>
    <x v="1"/>
    <m/>
    <m/>
    <d v="2023-12-07T00:00:00"/>
    <x v="10"/>
    <x v="2"/>
    <d v="2023-10-16T00:00:00"/>
    <d v="2023-06-28T00:00:00"/>
  </r>
  <r>
    <n v="2288887"/>
    <m/>
    <x v="2"/>
    <x v="1"/>
    <s v="Phone Service"/>
    <s v="Diego"/>
    <x v="0"/>
    <s v="Corporate Tools"/>
    <s v="note"/>
    <s v="Customer"/>
    <x v="3"/>
    <x v="12"/>
    <m/>
    <m/>
    <d v="2023-06-02T00:00:00"/>
    <x v="6"/>
    <x v="3"/>
    <d v="2023-07-04T00:00:00"/>
    <d v="2023-10-03T00:00:00"/>
  </r>
  <r>
    <n v="2218794"/>
    <m/>
    <x v="2"/>
    <x v="2"/>
    <s v="Phone Service"/>
    <s v="Diego"/>
    <x v="1"/>
    <s v="Corporate Tools"/>
    <s v="note"/>
    <s v="Customer"/>
    <x v="1"/>
    <x v="14"/>
    <m/>
    <m/>
    <d v="2023-09-19T00:00:00"/>
    <x v="1"/>
    <x v="1"/>
    <d v="2023-08-17T00:00:00"/>
    <d v="2023-11-20T00:00:00"/>
  </r>
  <r>
    <n v="2813979"/>
    <m/>
    <x v="2"/>
    <x v="2"/>
    <s v="Phone Service"/>
    <s v="Diego"/>
    <x v="3"/>
    <s v="Corporate Tools"/>
    <s v="note"/>
    <s v="Customer"/>
    <x v="3"/>
    <x v="2"/>
    <m/>
    <m/>
    <d v="2023-04-20T00:00:00"/>
    <x v="5"/>
    <x v="3"/>
    <d v="2023-10-18T00:00:00"/>
    <d v="2023-09-20T00:00:00"/>
  </r>
  <r>
    <n v="2235725"/>
    <m/>
    <x v="1"/>
    <x v="0"/>
    <s v="Phone Service"/>
    <s v="Diego"/>
    <x v="2"/>
    <s v="Corporate Tools"/>
    <s v="note"/>
    <s v="Customer"/>
    <x v="1"/>
    <x v="8"/>
    <m/>
    <m/>
    <d v="2023-07-10T00:00:00"/>
    <x v="2"/>
    <x v="1"/>
    <d v="2023-06-26T00:00:00"/>
    <d v="2023-08-22T00:00:00"/>
  </r>
  <r>
    <n v="2312716"/>
    <m/>
    <x v="2"/>
    <x v="1"/>
    <s v="Phone Service"/>
    <s v="Diego"/>
    <x v="2"/>
    <s v="Corporate Tools"/>
    <s v="note"/>
    <s v="Customer"/>
    <x v="3"/>
    <x v="1"/>
    <m/>
    <m/>
    <d v="2023-12-12T00:00:00"/>
    <x v="10"/>
    <x v="2"/>
    <d v="2023-10-07T00:00:00"/>
    <d v="2023-12-18T00:00:00"/>
  </r>
  <r>
    <n v="2140689"/>
    <m/>
    <x v="2"/>
    <x v="1"/>
    <s v="Phone Service"/>
    <s v="Diego"/>
    <x v="3"/>
    <s v="Corporate Tools"/>
    <s v="note"/>
    <s v="Customer"/>
    <x v="1"/>
    <x v="12"/>
    <m/>
    <m/>
    <d v="2023-11-11T00:00:00"/>
    <x v="9"/>
    <x v="2"/>
    <d v="2023-12-13T00:00:00"/>
    <d v="2023-11-24T00:00:00"/>
  </r>
  <r>
    <n v="2838486"/>
    <m/>
    <x v="0"/>
    <x v="2"/>
    <s v="Phone Service"/>
    <s v="Diego"/>
    <x v="0"/>
    <s v="Corporate Tools"/>
    <s v="note"/>
    <s v="Customer"/>
    <x v="3"/>
    <x v="1"/>
    <m/>
    <m/>
    <d v="2023-08-06T00:00:00"/>
    <x v="8"/>
    <x v="1"/>
    <d v="2023-11-28T00:00:00"/>
    <d v="2023-05-25T00:00:00"/>
  </r>
  <r>
    <n v="2097342"/>
    <m/>
    <x v="0"/>
    <x v="1"/>
    <s v="Phone Service"/>
    <s v="Diego"/>
    <x v="2"/>
    <s v="Corporate Tools"/>
    <s v="note"/>
    <s v="Customer"/>
    <x v="1"/>
    <x v="14"/>
    <m/>
    <m/>
    <d v="2023-10-25T00:00:00"/>
    <x v="3"/>
    <x v="2"/>
    <d v="2023-12-03T00:00:00"/>
    <d v="2023-06-04T00:00:00"/>
  </r>
  <r>
    <n v="2197437"/>
    <m/>
    <x v="0"/>
    <x v="0"/>
    <s v="Phone Service"/>
    <s v="Diego"/>
    <x v="0"/>
    <s v="Corporate Tools"/>
    <s v="note"/>
    <s v="Customer"/>
    <x v="0"/>
    <x v="1"/>
    <m/>
    <m/>
    <d v="2023-06-16T00:00:00"/>
    <x v="6"/>
    <x v="3"/>
    <d v="2023-04-11T00:00:00"/>
    <d v="2023-08-22T00:00:00"/>
  </r>
  <r>
    <n v="2266007"/>
    <m/>
    <x v="2"/>
    <x v="0"/>
    <s v="Phone Service"/>
    <s v="Diego"/>
    <x v="2"/>
    <s v="Corporate Tools"/>
    <s v="note"/>
    <s v="Customer"/>
    <x v="0"/>
    <x v="2"/>
    <m/>
    <m/>
    <d v="2023-09-29T00:00:00"/>
    <x v="1"/>
    <x v="1"/>
    <d v="2023-04-16T00:00:00"/>
    <d v="2023-09-06T00:00:00"/>
  </r>
  <r>
    <n v="2840907"/>
    <m/>
    <x v="2"/>
    <x v="1"/>
    <s v="Phone Service"/>
    <s v="Diego"/>
    <x v="2"/>
    <s v="Corporate Tools"/>
    <s v="note"/>
    <s v="Customer"/>
    <x v="1"/>
    <x v="11"/>
    <m/>
    <m/>
    <d v="2023-11-24T00:00:00"/>
    <x v="9"/>
    <x v="2"/>
    <d v="2023-12-06T00:00:00"/>
    <d v="2023-03-08T00:00:00"/>
  </r>
  <r>
    <n v="2469126"/>
    <m/>
    <x v="1"/>
    <x v="2"/>
    <s v="Phone Service"/>
    <s v="Diego"/>
    <x v="3"/>
    <s v="Corporate Tools"/>
    <s v="note"/>
    <s v="Customer"/>
    <x v="1"/>
    <x v="6"/>
    <m/>
    <m/>
    <d v="2023-07-24T00:00:00"/>
    <x v="2"/>
    <x v="1"/>
    <d v="2023-03-19T00:00:00"/>
    <d v="2023-12-12T00:00:00"/>
  </r>
  <r>
    <n v="2993028"/>
    <m/>
    <x v="1"/>
    <x v="0"/>
    <s v="Phone Service"/>
    <s v="Diego"/>
    <x v="2"/>
    <s v="Corporate Tools"/>
    <s v="note"/>
    <s v="Customer"/>
    <x v="1"/>
    <x v="11"/>
    <m/>
    <m/>
    <d v="2023-04-19T00:00:00"/>
    <x v="5"/>
    <x v="3"/>
    <d v="2023-11-13T00:00:00"/>
    <d v="2023-08-15T00:00:00"/>
  </r>
  <r>
    <n v="2901376"/>
    <m/>
    <x v="2"/>
    <x v="1"/>
    <s v="Phone Service"/>
    <s v="Diego"/>
    <x v="2"/>
    <s v="Corporate Tools"/>
    <s v="note"/>
    <s v="Customer"/>
    <x v="1"/>
    <x v="12"/>
    <m/>
    <m/>
    <d v="2023-04-27T00:00:00"/>
    <x v="5"/>
    <x v="3"/>
    <d v="2023-01-03T00:00:00"/>
    <d v="2023-09-01T00:00:00"/>
  </r>
  <r>
    <n v="2106745"/>
    <m/>
    <x v="0"/>
    <x v="0"/>
    <s v="Phone Service"/>
    <s v="Diego"/>
    <x v="0"/>
    <s v="Corporate Tools"/>
    <s v="note"/>
    <s v="Customer"/>
    <x v="3"/>
    <x v="12"/>
    <m/>
    <m/>
    <d v="2023-08-29T00:00:00"/>
    <x v="8"/>
    <x v="1"/>
    <d v="2023-11-22T00:00:00"/>
    <d v="2023-06-21T00:00:00"/>
  </r>
  <r>
    <n v="2189096"/>
    <m/>
    <x v="1"/>
    <x v="0"/>
    <s v="Phone Service"/>
    <s v="Diego"/>
    <x v="3"/>
    <s v="Corporate Tools"/>
    <s v="note"/>
    <s v="Customer"/>
    <x v="3"/>
    <x v="8"/>
    <m/>
    <m/>
    <d v="2023-01-08T00:00:00"/>
    <x v="0"/>
    <x v="0"/>
    <d v="2023-08-03T00:00:00"/>
    <d v="2023-02-01T00:00:00"/>
  </r>
  <r>
    <n v="2118535"/>
    <m/>
    <x v="0"/>
    <x v="0"/>
    <s v="Phone Service"/>
    <s v="Diego"/>
    <x v="1"/>
    <s v="Corporate Tools"/>
    <s v="note"/>
    <s v="Customer"/>
    <x v="1"/>
    <x v="1"/>
    <m/>
    <m/>
    <d v="2023-05-09T00:00:00"/>
    <x v="4"/>
    <x v="3"/>
    <d v="2023-08-22T00:00:00"/>
    <d v="2023-09-28T00:00:00"/>
  </r>
  <r>
    <n v="2330910"/>
    <m/>
    <x v="0"/>
    <x v="0"/>
    <s v="Phone Service"/>
    <s v="Diego"/>
    <x v="2"/>
    <s v="Corporate Tools"/>
    <s v="note"/>
    <s v="Customer"/>
    <x v="1"/>
    <x v="14"/>
    <m/>
    <m/>
    <d v="2023-04-11T00:00:00"/>
    <x v="5"/>
    <x v="3"/>
    <d v="2023-01-18T00:00:00"/>
    <d v="2023-11-25T00:00:00"/>
  </r>
  <r>
    <n v="2486918"/>
    <m/>
    <x v="0"/>
    <x v="1"/>
    <s v="Phone Service"/>
    <s v="Diego"/>
    <x v="1"/>
    <s v="Corporate Tools"/>
    <s v="note"/>
    <s v="Customer"/>
    <x v="3"/>
    <x v="12"/>
    <m/>
    <m/>
    <d v="2023-07-30T00:00:00"/>
    <x v="2"/>
    <x v="1"/>
    <d v="2023-05-10T00:00:00"/>
    <d v="2023-09-21T00:00:00"/>
  </r>
  <r>
    <n v="2076743"/>
    <m/>
    <x v="1"/>
    <x v="2"/>
    <s v="Phone Service"/>
    <s v="Diego"/>
    <x v="2"/>
    <s v="Corporate Tools"/>
    <s v="note"/>
    <s v="Customer"/>
    <x v="3"/>
    <x v="11"/>
    <m/>
    <m/>
    <d v="2023-09-23T00:00:00"/>
    <x v="1"/>
    <x v="1"/>
    <d v="2023-03-19T00:00:00"/>
    <d v="2023-02-26T00:00:00"/>
  </r>
  <r>
    <n v="2176410"/>
    <m/>
    <x v="1"/>
    <x v="0"/>
    <s v="Phone Service"/>
    <s v="Diego"/>
    <x v="2"/>
    <s v="Corporate Tools"/>
    <s v="note"/>
    <s v="Customer"/>
    <x v="2"/>
    <x v="5"/>
    <m/>
    <m/>
    <d v="2023-05-14T00:00:00"/>
    <x v="4"/>
    <x v="3"/>
    <d v="2023-09-28T00:00:00"/>
    <d v="2023-12-01T00:00:00"/>
  </r>
  <r>
    <n v="2228504"/>
    <m/>
    <x v="2"/>
    <x v="0"/>
    <s v="Phone Service"/>
    <s v="Diego"/>
    <x v="3"/>
    <s v="Corporate Tools"/>
    <s v="note"/>
    <s v="Customer"/>
    <x v="3"/>
    <x v="5"/>
    <m/>
    <m/>
    <d v="2023-01-03T00:00:00"/>
    <x v="0"/>
    <x v="0"/>
    <d v="2023-03-16T00:00:00"/>
    <d v="2023-05-22T00:00:00"/>
  </r>
  <r>
    <n v="2486421"/>
    <m/>
    <x v="0"/>
    <x v="1"/>
    <s v="Phone Service"/>
    <s v="Diego"/>
    <x v="0"/>
    <s v="Corporate Tools"/>
    <s v="note"/>
    <s v="Customer"/>
    <x v="3"/>
    <x v="12"/>
    <m/>
    <m/>
    <d v="2023-02-03T00:00:00"/>
    <x v="11"/>
    <x v="0"/>
    <d v="2023-01-02T00:00:00"/>
    <d v="2023-10-12T00:00:00"/>
  </r>
  <r>
    <n v="2241724"/>
    <m/>
    <x v="1"/>
    <x v="0"/>
    <s v="Phone Service"/>
    <s v="Diego"/>
    <x v="0"/>
    <s v="Corporate Tools"/>
    <s v="note"/>
    <s v="Customer"/>
    <x v="3"/>
    <x v="8"/>
    <m/>
    <m/>
    <d v="2023-06-26T00:00:00"/>
    <x v="6"/>
    <x v="3"/>
    <d v="2023-08-03T00:00:00"/>
    <d v="2023-11-10T00:00:00"/>
  </r>
  <r>
    <n v="2003509"/>
    <m/>
    <x v="0"/>
    <x v="2"/>
    <s v="Phone Service"/>
    <s v="Diego"/>
    <x v="0"/>
    <s v="Corporate Tools"/>
    <s v="note"/>
    <s v="Customer"/>
    <x v="3"/>
    <x v="4"/>
    <m/>
    <m/>
    <d v="2023-02-28T00:00:00"/>
    <x v="11"/>
    <x v="0"/>
    <d v="2023-09-07T00:00:00"/>
    <d v="2023-06-30T00:00:00"/>
  </r>
  <r>
    <n v="2788193"/>
    <m/>
    <x v="2"/>
    <x v="0"/>
    <s v="Phone Service"/>
    <s v="Diego"/>
    <x v="0"/>
    <s v="Corporate Tools"/>
    <s v="note"/>
    <s v="Customer"/>
    <x v="2"/>
    <x v="8"/>
    <m/>
    <m/>
    <d v="2023-07-29T00:00:00"/>
    <x v="2"/>
    <x v="1"/>
    <d v="2023-12-05T00:00:00"/>
    <d v="2023-01-05T00:00:00"/>
  </r>
  <r>
    <n v="2980390"/>
    <m/>
    <x v="1"/>
    <x v="0"/>
    <s v="Phone Service"/>
    <s v="Diego"/>
    <x v="3"/>
    <s v="Corporate Tools"/>
    <s v="note"/>
    <s v="Customer"/>
    <x v="0"/>
    <x v="6"/>
    <m/>
    <m/>
    <d v="2023-10-29T00:00:00"/>
    <x v="3"/>
    <x v="2"/>
    <d v="2023-03-28T00:00:00"/>
    <d v="2023-12-16T00:00:00"/>
  </r>
  <r>
    <n v="2759582"/>
    <m/>
    <x v="2"/>
    <x v="0"/>
    <s v="Phone Service"/>
    <s v="Diego"/>
    <x v="0"/>
    <s v="Corporate Tools"/>
    <s v="note"/>
    <s v="Customer"/>
    <x v="0"/>
    <x v="3"/>
    <m/>
    <m/>
    <d v="2023-09-29T00:00:00"/>
    <x v="1"/>
    <x v="1"/>
    <d v="2024-01-05T00:00:00"/>
    <d v="2023-12-21T00:00:00"/>
  </r>
  <r>
    <n v="2649219"/>
    <m/>
    <x v="2"/>
    <x v="0"/>
    <s v="Phone Service"/>
    <s v="Diego"/>
    <x v="0"/>
    <s v="Corporate Tools"/>
    <s v="note"/>
    <s v="Customer"/>
    <x v="2"/>
    <x v="10"/>
    <m/>
    <m/>
    <d v="2023-01-10T00:00:00"/>
    <x v="0"/>
    <x v="0"/>
    <d v="2023-10-06T00:00:00"/>
    <d v="2023-08-27T00:00:00"/>
  </r>
  <r>
    <n v="2015913"/>
    <m/>
    <x v="2"/>
    <x v="0"/>
    <s v="Phone Service"/>
    <s v="Diego"/>
    <x v="2"/>
    <s v="Corporate Tools"/>
    <s v="note"/>
    <s v="Customer"/>
    <x v="2"/>
    <x v="6"/>
    <m/>
    <m/>
    <d v="2023-02-10T00:00:00"/>
    <x v="11"/>
    <x v="0"/>
    <d v="2023-10-03T00:00:00"/>
    <d v="2023-04-17T00:00:00"/>
  </r>
  <r>
    <n v="2717864"/>
    <m/>
    <x v="0"/>
    <x v="1"/>
    <s v="Phone Service"/>
    <s v="Diego"/>
    <x v="0"/>
    <s v="Corporate Tools"/>
    <s v="note"/>
    <s v="Customer"/>
    <x v="1"/>
    <x v="5"/>
    <m/>
    <m/>
    <d v="2023-09-13T00:00:00"/>
    <x v="1"/>
    <x v="1"/>
    <d v="2023-03-05T00:00:00"/>
    <d v="2023-07-11T00:00:00"/>
  </r>
  <r>
    <n v="2720944"/>
    <m/>
    <x v="1"/>
    <x v="2"/>
    <s v="Phone Service"/>
    <s v="Diego"/>
    <x v="0"/>
    <s v="Corporate Tools"/>
    <s v="note"/>
    <s v="Customer"/>
    <x v="0"/>
    <x v="11"/>
    <m/>
    <m/>
    <d v="2023-02-28T00:00:00"/>
    <x v="11"/>
    <x v="0"/>
    <d v="2023-09-10T00:00:00"/>
    <d v="2023-07-31T00:00:00"/>
  </r>
  <r>
    <n v="2658776"/>
    <m/>
    <x v="0"/>
    <x v="0"/>
    <s v="Phone Service"/>
    <s v="Diego"/>
    <x v="0"/>
    <s v="Corporate Tools"/>
    <s v="note"/>
    <s v="Customer"/>
    <x v="3"/>
    <x v="6"/>
    <m/>
    <m/>
    <d v="2023-12-21T00:00:00"/>
    <x v="10"/>
    <x v="2"/>
    <d v="2023-11-04T00:00:00"/>
    <d v="2023-09-23T00:00:00"/>
  </r>
  <r>
    <n v="2125965"/>
    <m/>
    <x v="0"/>
    <x v="1"/>
    <s v="Phone Service"/>
    <s v="Diego"/>
    <x v="3"/>
    <s v="Corporate Tools"/>
    <s v="note"/>
    <s v="Customer"/>
    <x v="3"/>
    <x v="10"/>
    <m/>
    <m/>
    <d v="2023-03-08T00:00:00"/>
    <x v="7"/>
    <x v="0"/>
    <d v="2023-11-13T00:00:00"/>
    <d v="2023-04-11T00:00:00"/>
  </r>
  <r>
    <n v="2851554"/>
    <m/>
    <x v="0"/>
    <x v="0"/>
    <s v="Phone Service"/>
    <s v="Diego"/>
    <x v="2"/>
    <s v="Corporate Tools"/>
    <s v="note"/>
    <s v="Customer"/>
    <x v="2"/>
    <x v="12"/>
    <m/>
    <m/>
    <d v="2023-08-30T00:00:00"/>
    <x v="8"/>
    <x v="1"/>
    <d v="2023-08-03T00:00:00"/>
    <d v="2023-07-26T00:00:00"/>
  </r>
  <r>
    <n v="2028630"/>
    <m/>
    <x v="0"/>
    <x v="0"/>
    <s v="Phone Service"/>
    <s v="Diego"/>
    <x v="0"/>
    <s v="Corporate Tools"/>
    <s v="note"/>
    <s v="Customer"/>
    <x v="3"/>
    <x v="12"/>
    <m/>
    <m/>
    <d v="2023-01-29T00:00:00"/>
    <x v="0"/>
    <x v="0"/>
    <d v="2023-11-04T00:00:00"/>
    <d v="2023-03-20T00:00:00"/>
  </r>
  <r>
    <n v="2624447"/>
    <m/>
    <x v="0"/>
    <x v="0"/>
    <s v="Phone Service"/>
    <s v="Diego"/>
    <x v="3"/>
    <s v="Corporate Tools"/>
    <s v="note"/>
    <s v="Customer"/>
    <x v="0"/>
    <x v="8"/>
    <m/>
    <m/>
    <d v="2023-04-24T00:00:00"/>
    <x v="5"/>
    <x v="3"/>
    <d v="2023-07-08T00:00:00"/>
    <d v="2023-09-11T00:00:00"/>
  </r>
  <r>
    <n v="2969979"/>
    <m/>
    <x v="1"/>
    <x v="1"/>
    <s v="Phone Service"/>
    <s v="Diego"/>
    <x v="2"/>
    <s v="Corporate Tools"/>
    <s v="note"/>
    <s v="Customer"/>
    <x v="3"/>
    <x v="3"/>
    <m/>
    <m/>
    <d v="2023-03-09T00:00:00"/>
    <x v="7"/>
    <x v="0"/>
    <d v="2023-02-12T00:00:00"/>
    <d v="2023-01-14T00:00:00"/>
  </r>
  <r>
    <n v="2133075"/>
    <m/>
    <x v="1"/>
    <x v="1"/>
    <s v="Phone Service"/>
    <s v="Diego"/>
    <x v="0"/>
    <s v="Corporate Tools"/>
    <s v="note"/>
    <s v="Customer"/>
    <x v="2"/>
    <x v="0"/>
    <m/>
    <m/>
    <d v="2023-08-11T00:00:00"/>
    <x v="8"/>
    <x v="1"/>
    <d v="2023-05-29T00:00:00"/>
    <d v="2023-10-05T00:00:00"/>
  </r>
  <r>
    <n v="2849105"/>
    <m/>
    <x v="2"/>
    <x v="0"/>
    <s v="Phone Service"/>
    <s v="Diego"/>
    <x v="0"/>
    <s v="Corporate Tools"/>
    <s v="note"/>
    <s v="Customer"/>
    <x v="1"/>
    <x v="2"/>
    <m/>
    <m/>
    <d v="2023-12-15T00:00:00"/>
    <x v="10"/>
    <x v="2"/>
    <d v="2023-07-09T00:00:00"/>
    <d v="2023-05-22T00:00:00"/>
  </r>
  <r>
    <n v="2433969"/>
    <m/>
    <x v="0"/>
    <x v="1"/>
    <s v="Phone Service"/>
    <s v="Diego"/>
    <x v="3"/>
    <s v="Corporate Tools"/>
    <s v="note"/>
    <s v="Customer"/>
    <x v="2"/>
    <x v="0"/>
    <m/>
    <m/>
    <d v="2023-10-30T00:00:00"/>
    <x v="3"/>
    <x v="2"/>
    <d v="2023-03-02T00:00:00"/>
    <d v="2023-06-13T00:00:00"/>
  </r>
  <r>
    <n v="2706988"/>
    <m/>
    <x v="1"/>
    <x v="2"/>
    <s v="Phone Service"/>
    <s v="Diego"/>
    <x v="2"/>
    <s v="Corporate Tools"/>
    <s v="note"/>
    <s v="Customer"/>
    <x v="2"/>
    <x v="4"/>
    <m/>
    <m/>
    <d v="2023-08-19T00:00:00"/>
    <x v="8"/>
    <x v="1"/>
    <d v="2023-01-12T00:00:00"/>
    <d v="2023-01-25T00:00:00"/>
  </r>
  <r>
    <n v="2651748"/>
    <m/>
    <x v="2"/>
    <x v="0"/>
    <s v="Phone Service"/>
    <s v="Diego"/>
    <x v="3"/>
    <s v="Corporate Tools"/>
    <s v="note"/>
    <s v="Customer"/>
    <x v="2"/>
    <x v="7"/>
    <m/>
    <m/>
    <d v="2023-08-20T00:00:00"/>
    <x v="8"/>
    <x v="1"/>
    <d v="2023-09-14T00:00:00"/>
    <d v="2023-11-20T00:00:00"/>
  </r>
  <r>
    <n v="2169257"/>
    <m/>
    <x v="2"/>
    <x v="0"/>
    <s v="Phone Service"/>
    <s v="Diego"/>
    <x v="1"/>
    <s v="Corporate Tools"/>
    <s v="note"/>
    <s v="Customer"/>
    <x v="1"/>
    <x v="3"/>
    <m/>
    <m/>
    <d v="2023-09-03T00:00:00"/>
    <x v="1"/>
    <x v="1"/>
    <d v="2023-06-16T00:00:00"/>
    <d v="2023-01-13T00:00:00"/>
  </r>
  <r>
    <n v="2744253"/>
    <m/>
    <x v="1"/>
    <x v="0"/>
    <s v="Phone Service"/>
    <s v="Diego"/>
    <x v="0"/>
    <s v="Corporate Tools"/>
    <s v="note"/>
    <s v="Customer"/>
    <x v="1"/>
    <x v="11"/>
    <m/>
    <m/>
    <d v="2023-08-13T00:00:00"/>
    <x v="8"/>
    <x v="1"/>
    <d v="2023-10-19T00:00:00"/>
    <d v="2023-11-07T00:00:00"/>
  </r>
  <r>
    <n v="2701684"/>
    <m/>
    <x v="1"/>
    <x v="1"/>
    <s v="Phone Service"/>
    <s v="Diego"/>
    <x v="0"/>
    <s v="Corporate Tools"/>
    <s v="note"/>
    <s v="Customer"/>
    <x v="3"/>
    <x v="0"/>
    <m/>
    <m/>
    <d v="2023-07-06T00:00:00"/>
    <x v="2"/>
    <x v="1"/>
    <d v="2023-01-17T00:00:00"/>
    <d v="2023-10-09T00:00:00"/>
  </r>
  <r>
    <n v="2915564"/>
    <m/>
    <x v="0"/>
    <x v="1"/>
    <s v="Phone Service"/>
    <s v="Diego"/>
    <x v="0"/>
    <s v="Corporate Tools"/>
    <s v="note"/>
    <s v="Customer"/>
    <x v="1"/>
    <x v="10"/>
    <m/>
    <m/>
    <d v="2023-01-14T00:00:00"/>
    <x v="0"/>
    <x v="0"/>
    <d v="2023-01-09T00:00:00"/>
    <d v="2023-07-03T00:00:00"/>
  </r>
  <r>
    <n v="2193037"/>
    <m/>
    <x v="0"/>
    <x v="2"/>
    <s v="Phone Service"/>
    <s v="Diego"/>
    <x v="0"/>
    <s v="Corporate Tools"/>
    <s v="note"/>
    <s v="Customer"/>
    <x v="2"/>
    <x v="10"/>
    <m/>
    <m/>
    <d v="2023-06-14T00:00:00"/>
    <x v="6"/>
    <x v="3"/>
    <d v="2023-03-13T00:00:00"/>
    <d v="2023-05-02T00:00:00"/>
  </r>
  <r>
    <n v="2524652"/>
    <m/>
    <x v="1"/>
    <x v="0"/>
    <s v="Phone Service"/>
    <s v="Diego"/>
    <x v="3"/>
    <s v="Corporate Tools"/>
    <s v="note"/>
    <s v="Customer"/>
    <x v="1"/>
    <x v="9"/>
    <m/>
    <m/>
    <d v="2023-05-31T00:00:00"/>
    <x v="4"/>
    <x v="3"/>
    <d v="2023-11-11T00:00:00"/>
    <d v="2023-05-30T00:00:00"/>
  </r>
  <r>
    <n v="2618793"/>
    <m/>
    <x v="1"/>
    <x v="2"/>
    <s v="Phone Service"/>
    <s v="Diego"/>
    <x v="2"/>
    <s v="Corporate Tools"/>
    <s v="note"/>
    <s v="Customer"/>
    <x v="3"/>
    <x v="12"/>
    <m/>
    <m/>
    <d v="2023-02-23T00:00:00"/>
    <x v="11"/>
    <x v="0"/>
    <d v="2023-08-20T00:00:00"/>
    <d v="2023-05-04T00:00:00"/>
  </r>
  <r>
    <n v="2393520"/>
    <m/>
    <x v="2"/>
    <x v="0"/>
    <s v="Phone Service"/>
    <s v="Diego"/>
    <x v="2"/>
    <s v="Corporate Tools"/>
    <s v="note"/>
    <s v="Customer"/>
    <x v="1"/>
    <x v="13"/>
    <m/>
    <m/>
    <d v="2023-07-29T00:00:00"/>
    <x v="2"/>
    <x v="1"/>
    <d v="2023-02-22T00:00:00"/>
    <d v="2023-10-18T00:00:00"/>
  </r>
  <r>
    <n v="2080893"/>
    <m/>
    <x v="0"/>
    <x v="2"/>
    <s v="Phone Service"/>
    <s v="Diego"/>
    <x v="3"/>
    <s v="Corporate Tools"/>
    <s v="note"/>
    <s v="Customer"/>
    <x v="1"/>
    <x v="11"/>
    <m/>
    <m/>
    <d v="2023-12-29T00:00:00"/>
    <x v="10"/>
    <x v="2"/>
    <d v="2023-01-29T00:00:00"/>
    <d v="2023-06-19T00:00:00"/>
  </r>
  <r>
    <n v="2396198"/>
    <m/>
    <x v="1"/>
    <x v="1"/>
    <s v="Phone Service"/>
    <s v="Diego"/>
    <x v="3"/>
    <s v="Corporate Tools"/>
    <s v="note"/>
    <s v="Customer"/>
    <x v="3"/>
    <x v="0"/>
    <m/>
    <m/>
    <d v="2023-07-09T00:00:00"/>
    <x v="2"/>
    <x v="1"/>
    <d v="2023-12-14T00:00:00"/>
    <d v="2023-03-28T00:00:00"/>
  </r>
  <r>
    <n v="2345743"/>
    <m/>
    <x v="2"/>
    <x v="1"/>
    <s v="Phone Service"/>
    <s v="Diego"/>
    <x v="3"/>
    <s v="Corporate Tools"/>
    <s v="note"/>
    <s v="Customer"/>
    <x v="3"/>
    <x v="1"/>
    <m/>
    <m/>
    <d v="2023-09-19T00:00:00"/>
    <x v="1"/>
    <x v="1"/>
    <d v="2023-10-27T00:00:00"/>
    <d v="2023-03-21T00:00:00"/>
  </r>
  <r>
    <n v="2014202"/>
    <m/>
    <x v="0"/>
    <x v="1"/>
    <s v="Phone Service"/>
    <s v="Diego"/>
    <x v="0"/>
    <s v="Corporate Tools"/>
    <s v="note"/>
    <s v="Customer"/>
    <x v="0"/>
    <x v="15"/>
    <m/>
    <m/>
    <d v="2023-04-14T00:00:00"/>
    <x v="5"/>
    <x v="3"/>
    <d v="2023-06-22T00:00:00"/>
    <d v="2023-07-18T00:00:00"/>
  </r>
  <r>
    <n v="2741677"/>
    <m/>
    <x v="1"/>
    <x v="2"/>
    <s v="Phone Service"/>
    <s v="Diego"/>
    <x v="0"/>
    <s v="Corporate Tools"/>
    <s v="note"/>
    <s v="Customer"/>
    <x v="0"/>
    <x v="13"/>
    <m/>
    <m/>
    <d v="2023-10-29T00:00:00"/>
    <x v="3"/>
    <x v="2"/>
    <d v="2023-01-21T00:00:00"/>
    <d v="2023-09-30T00:00:00"/>
  </r>
  <r>
    <n v="2922000"/>
    <m/>
    <x v="0"/>
    <x v="2"/>
    <s v="Phone Service"/>
    <s v="Diego"/>
    <x v="2"/>
    <s v="Corporate Tools"/>
    <s v="note"/>
    <s v="Customer"/>
    <x v="2"/>
    <x v="15"/>
    <m/>
    <m/>
    <d v="2023-06-02T00:00:00"/>
    <x v="6"/>
    <x v="3"/>
    <d v="2023-10-09T00:00:00"/>
    <d v="2023-03-28T00:00:00"/>
  </r>
  <r>
    <n v="2618327"/>
    <m/>
    <x v="1"/>
    <x v="2"/>
    <s v="Phone Service"/>
    <s v="Diego"/>
    <x v="0"/>
    <s v="Corporate Tools"/>
    <s v="note"/>
    <s v="Customer"/>
    <x v="0"/>
    <x v="2"/>
    <m/>
    <m/>
    <d v="2023-02-02T00:00:00"/>
    <x v="11"/>
    <x v="0"/>
    <d v="2023-02-28T00:00:00"/>
    <d v="2023-05-16T00:00:00"/>
  </r>
  <r>
    <n v="2213979"/>
    <m/>
    <x v="0"/>
    <x v="2"/>
    <s v="Phone Service"/>
    <s v="Diego"/>
    <x v="1"/>
    <s v="Corporate Tools"/>
    <s v="note"/>
    <s v="Customer"/>
    <x v="3"/>
    <x v="2"/>
    <m/>
    <m/>
    <d v="2023-08-25T00:00:00"/>
    <x v="8"/>
    <x v="1"/>
    <d v="2023-07-11T00:00:00"/>
    <d v="2023-12-13T00:00:00"/>
  </r>
  <r>
    <n v="2653833"/>
    <m/>
    <x v="1"/>
    <x v="2"/>
    <s v="Phone Service"/>
    <s v="Diego"/>
    <x v="3"/>
    <s v="Corporate Tools"/>
    <s v="note"/>
    <s v="Customer"/>
    <x v="3"/>
    <x v="3"/>
    <m/>
    <m/>
    <d v="2023-01-30T00:00:00"/>
    <x v="0"/>
    <x v="0"/>
    <d v="2023-05-26T00:00:00"/>
    <d v="2023-12-24T00:00:00"/>
  </r>
  <r>
    <n v="2211990"/>
    <m/>
    <x v="0"/>
    <x v="2"/>
    <s v="Phone Service"/>
    <s v="Diego"/>
    <x v="1"/>
    <s v="Corporate Tools"/>
    <s v="note"/>
    <s v="Customer"/>
    <x v="1"/>
    <x v="15"/>
    <m/>
    <m/>
    <d v="2023-07-14T00:00:00"/>
    <x v="2"/>
    <x v="1"/>
    <d v="2023-08-06T00:00:00"/>
    <d v="2023-11-01T00:00:00"/>
  </r>
  <r>
    <n v="2947231"/>
    <m/>
    <x v="2"/>
    <x v="1"/>
    <s v="Phone Service"/>
    <s v="Diego"/>
    <x v="2"/>
    <s v="Corporate Tools"/>
    <s v="note"/>
    <s v="Customer"/>
    <x v="0"/>
    <x v="4"/>
    <m/>
    <m/>
    <d v="2023-02-06T00:00:00"/>
    <x v="11"/>
    <x v="0"/>
    <d v="2023-10-21T00:00:00"/>
    <d v="2023-10-24T00:00:00"/>
  </r>
  <r>
    <n v="2353248"/>
    <m/>
    <x v="1"/>
    <x v="2"/>
    <s v="Phone Service"/>
    <s v="Diego"/>
    <x v="1"/>
    <s v="Corporate Tools"/>
    <s v="note"/>
    <s v="Customer"/>
    <x v="3"/>
    <x v="5"/>
    <m/>
    <m/>
    <d v="2023-03-14T00:00:00"/>
    <x v="7"/>
    <x v="0"/>
    <d v="2023-06-09T00:00:00"/>
    <d v="2023-04-03T00:00:00"/>
  </r>
  <r>
    <n v="2986820"/>
    <m/>
    <x v="0"/>
    <x v="2"/>
    <s v="Phone Service"/>
    <s v="Diego"/>
    <x v="1"/>
    <s v="Corporate Tools"/>
    <s v="note"/>
    <s v="Customer"/>
    <x v="0"/>
    <x v="5"/>
    <m/>
    <m/>
    <d v="2023-04-18T00:00:00"/>
    <x v="5"/>
    <x v="3"/>
    <d v="2023-12-26T00:00:00"/>
    <d v="2023-11-24T00:00:00"/>
  </r>
  <r>
    <n v="2968289"/>
    <m/>
    <x v="0"/>
    <x v="1"/>
    <s v="Phone Service"/>
    <s v="Diego"/>
    <x v="1"/>
    <s v="Corporate Tools"/>
    <s v="note"/>
    <s v="Customer"/>
    <x v="2"/>
    <x v="12"/>
    <m/>
    <m/>
    <d v="2023-06-24T00:00:00"/>
    <x v="6"/>
    <x v="3"/>
    <d v="2023-12-25T00:00:00"/>
    <d v="2023-04-01T00:00:00"/>
  </r>
  <r>
    <n v="2528776"/>
    <m/>
    <x v="2"/>
    <x v="0"/>
    <s v="Phone Service"/>
    <s v="Diego"/>
    <x v="0"/>
    <s v="Corporate Tools"/>
    <s v="note"/>
    <s v="Customer"/>
    <x v="3"/>
    <x v="9"/>
    <m/>
    <m/>
    <d v="2023-08-09T00:00:00"/>
    <x v="8"/>
    <x v="1"/>
    <d v="2023-01-01T00:00:00"/>
    <d v="2023-03-22T00:00:00"/>
  </r>
  <r>
    <n v="2263576"/>
    <m/>
    <x v="2"/>
    <x v="0"/>
    <s v="Phone Service"/>
    <s v="Diego"/>
    <x v="1"/>
    <s v="Corporate Tools"/>
    <s v="note"/>
    <s v="Customer"/>
    <x v="3"/>
    <x v="13"/>
    <m/>
    <m/>
    <d v="2023-03-31T00:00:00"/>
    <x v="7"/>
    <x v="0"/>
    <d v="2023-06-01T00:00:00"/>
    <d v="2023-01-01T00:00:00"/>
  </r>
  <r>
    <n v="2230361"/>
    <m/>
    <x v="2"/>
    <x v="1"/>
    <s v="Phone Service"/>
    <s v="Diego"/>
    <x v="0"/>
    <s v="Corporate Tools"/>
    <s v="note"/>
    <s v="Customer"/>
    <x v="2"/>
    <x v="1"/>
    <m/>
    <m/>
    <d v="2023-04-06T00:00:00"/>
    <x v="5"/>
    <x v="3"/>
    <d v="2023-04-05T00:00:00"/>
    <d v="2023-06-03T00:00:00"/>
  </r>
  <r>
    <n v="2607196"/>
    <m/>
    <x v="1"/>
    <x v="1"/>
    <s v="Phone Service"/>
    <s v="Diego"/>
    <x v="2"/>
    <s v="Corporate Tools"/>
    <s v="note"/>
    <s v="Customer"/>
    <x v="2"/>
    <x v="10"/>
    <m/>
    <m/>
    <d v="2023-06-17T00:00:00"/>
    <x v="6"/>
    <x v="3"/>
    <d v="2023-05-19T00:00:00"/>
    <d v="2023-09-05T00:00:00"/>
  </r>
  <r>
    <n v="2466904"/>
    <m/>
    <x v="2"/>
    <x v="0"/>
    <s v="Phone Service"/>
    <s v="Diego"/>
    <x v="2"/>
    <s v="Corporate Tools"/>
    <s v="note"/>
    <s v="Customer"/>
    <x v="3"/>
    <x v="1"/>
    <m/>
    <m/>
    <d v="2024-01-05T00:00:00"/>
    <x v="0"/>
    <x v="0"/>
    <d v="2023-02-08T00:00:00"/>
    <d v="2023-02-06T00:00:00"/>
  </r>
  <r>
    <n v="2428138"/>
    <m/>
    <x v="0"/>
    <x v="1"/>
    <s v="Phone Service"/>
    <s v="Diego"/>
    <x v="1"/>
    <s v="Corporate Tools"/>
    <s v="note"/>
    <s v="Customer"/>
    <x v="2"/>
    <x v="15"/>
    <m/>
    <m/>
    <d v="2023-10-05T00:00:00"/>
    <x v="3"/>
    <x v="2"/>
    <d v="2023-08-27T00:00:00"/>
    <d v="2023-04-07T00:00:00"/>
  </r>
  <r>
    <n v="2143622"/>
    <m/>
    <x v="1"/>
    <x v="1"/>
    <s v="Phone Service"/>
    <s v="Diego"/>
    <x v="1"/>
    <s v="Corporate Tools"/>
    <s v="note"/>
    <s v="Customer"/>
    <x v="1"/>
    <x v="12"/>
    <m/>
    <m/>
    <d v="2023-02-09T00:00:00"/>
    <x v="11"/>
    <x v="0"/>
    <d v="2023-01-14T00:00:00"/>
    <d v="2023-11-07T00:00:00"/>
  </r>
  <r>
    <n v="2550335"/>
    <m/>
    <x v="2"/>
    <x v="0"/>
    <s v="Phone Service"/>
    <s v="Diego"/>
    <x v="1"/>
    <s v="Corporate Tools"/>
    <s v="note"/>
    <s v="Customer"/>
    <x v="1"/>
    <x v="10"/>
    <m/>
    <m/>
    <d v="2023-01-31T00:00:00"/>
    <x v="0"/>
    <x v="0"/>
    <d v="2023-08-26T00:00:00"/>
    <d v="2023-02-23T00:00:00"/>
  </r>
  <r>
    <n v="2554289"/>
    <m/>
    <x v="2"/>
    <x v="2"/>
    <s v="Phone Service"/>
    <s v="Diego"/>
    <x v="3"/>
    <s v="Corporate Tools"/>
    <s v="note"/>
    <s v="Customer"/>
    <x v="2"/>
    <x v="0"/>
    <m/>
    <m/>
    <d v="2023-11-23T00:00:00"/>
    <x v="9"/>
    <x v="2"/>
    <d v="2023-07-25T00:00:00"/>
    <d v="2023-07-21T00:00:00"/>
  </r>
  <r>
    <n v="2381623"/>
    <m/>
    <x v="1"/>
    <x v="1"/>
    <s v="Phone Service"/>
    <s v="Diego"/>
    <x v="0"/>
    <s v="Corporate Tools"/>
    <s v="note"/>
    <s v="Customer"/>
    <x v="1"/>
    <x v="10"/>
    <m/>
    <m/>
    <d v="2023-05-04T00:00:00"/>
    <x v="4"/>
    <x v="3"/>
    <d v="2023-02-14T00:00:00"/>
    <d v="2023-09-18T00:00:00"/>
  </r>
  <r>
    <n v="2717571"/>
    <m/>
    <x v="2"/>
    <x v="0"/>
    <s v="Phone Service"/>
    <s v="Diego"/>
    <x v="0"/>
    <s v="Corporate Tools"/>
    <s v="note"/>
    <s v="Customer"/>
    <x v="1"/>
    <x v="5"/>
    <m/>
    <m/>
    <d v="2023-07-14T00:00:00"/>
    <x v="2"/>
    <x v="1"/>
    <d v="2023-04-04T00:00:00"/>
    <d v="2023-06-25T00:00:00"/>
  </r>
  <r>
    <n v="2234057"/>
    <m/>
    <x v="2"/>
    <x v="2"/>
    <s v="Phone Service"/>
    <s v="Diego"/>
    <x v="2"/>
    <s v="Corporate Tools"/>
    <s v="note"/>
    <s v="Customer"/>
    <x v="0"/>
    <x v="13"/>
    <m/>
    <m/>
    <d v="2023-03-09T00:00:00"/>
    <x v="7"/>
    <x v="0"/>
    <d v="2023-09-18T00:00:00"/>
    <d v="2023-06-01T00:00:00"/>
  </r>
  <r>
    <n v="2435227"/>
    <m/>
    <x v="2"/>
    <x v="1"/>
    <s v="Phone Service"/>
    <s v="Diego"/>
    <x v="1"/>
    <s v="Corporate Tools"/>
    <s v="note"/>
    <s v="Customer"/>
    <x v="3"/>
    <x v="5"/>
    <m/>
    <m/>
    <d v="2023-06-20T00:00:00"/>
    <x v="6"/>
    <x v="3"/>
    <d v="2023-12-09T00:00:00"/>
    <d v="2023-05-20T00:00:00"/>
  </r>
  <r>
    <n v="2383936"/>
    <m/>
    <x v="1"/>
    <x v="0"/>
    <s v="Phone Service"/>
    <s v="Diego"/>
    <x v="0"/>
    <s v="Corporate Tools"/>
    <s v="note"/>
    <s v="Customer"/>
    <x v="1"/>
    <x v="4"/>
    <m/>
    <m/>
    <d v="2023-03-23T00:00:00"/>
    <x v="7"/>
    <x v="0"/>
    <d v="2023-11-16T00:00:00"/>
    <d v="2023-08-13T00:00:00"/>
  </r>
  <r>
    <n v="2963145"/>
    <m/>
    <x v="2"/>
    <x v="1"/>
    <s v="Phone Service"/>
    <s v="Diego"/>
    <x v="1"/>
    <s v="Corporate Tools"/>
    <s v="note"/>
    <s v="Customer"/>
    <x v="0"/>
    <x v="12"/>
    <m/>
    <m/>
    <d v="2023-12-25T00:00:00"/>
    <x v="10"/>
    <x v="2"/>
    <d v="2023-01-19T00:00:00"/>
    <d v="2023-05-20T00:00:00"/>
  </r>
  <r>
    <n v="2815584"/>
    <m/>
    <x v="0"/>
    <x v="0"/>
    <s v="Phone Service"/>
    <s v="Diego"/>
    <x v="2"/>
    <s v="Corporate Tools"/>
    <s v="note"/>
    <s v="Customer"/>
    <x v="2"/>
    <x v="1"/>
    <m/>
    <m/>
    <d v="2023-11-19T00:00:00"/>
    <x v="9"/>
    <x v="2"/>
    <d v="2023-06-14T00:00:00"/>
    <d v="2023-01-10T00:00:00"/>
  </r>
  <r>
    <n v="2358647"/>
    <m/>
    <x v="2"/>
    <x v="2"/>
    <s v="Phone Service"/>
    <s v="Diego"/>
    <x v="2"/>
    <s v="Corporate Tools"/>
    <s v="note"/>
    <s v="Customer"/>
    <x v="2"/>
    <x v="13"/>
    <m/>
    <m/>
    <d v="2023-09-05T00:00:00"/>
    <x v="1"/>
    <x v="1"/>
    <d v="2023-02-13T00:00:00"/>
    <d v="2023-11-05T00:00:00"/>
  </r>
  <r>
    <n v="2700066"/>
    <m/>
    <x v="0"/>
    <x v="0"/>
    <s v="Phone Service"/>
    <s v="Diego"/>
    <x v="2"/>
    <s v="Corporate Tools"/>
    <s v="note"/>
    <s v="Customer"/>
    <x v="3"/>
    <x v="8"/>
    <m/>
    <m/>
    <d v="2023-05-29T00:00:00"/>
    <x v="4"/>
    <x v="3"/>
    <d v="2023-12-08T00:00:00"/>
    <d v="2023-02-03T00:00:00"/>
  </r>
  <r>
    <n v="2790976"/>
    <m/>
    <x v="0"/>
    <x v="0"/>
    <s v="Phone Service"/>
    <s v="Diego"/>
    <x v="2"/>
    <s v="Corporate Tools"/>
    <s v="note"/>
    <s v="Customer"/>
    <x v="0"/>
    <x v="15"/>
    <m/>
    <m/>
    <d v="2023-12-07T00:00:00"/>
    <x v="10"/>
    <x v="2"/>
    <d v="2023-01-23T00:00:00"/>
    <d v="2023-01-11T00:00:00"/>
  </r>
  <r>
    <n v="2630095"/>
    <m/>
    <x v="2"/>
    <x v="1"/>
    <s v="Phone Service"/>
    <s v="Diego"/>
    <x v="0"/>
    <s v="Corporate Tools"/>
    <s v="note"/>
    <s v="Customer"/>
    <x v="2"/>
    <x v="12"/>
    <m/>
    <m/>
    <d v="2023-11-24T00:00:00"/>
    <x v="9"/>
    <x v="2"/>
    <d v="2023-06-08T00:00:00"/>
    <d v="2023-08-16T00:00:00"/>
  </r>
  <r>
    <n v="2808195"/>
    <m/>
    <x v="2"/>
    <x v="2"/>
    <s v="Phone Service"/>
    <s v="Diego"/>
    <x v="2"/>
    <s v="Corporate Tools"/>
    <s v="note"/>
    <s v="Customer"/>
    <x v="3"/>
    <x v="3"/>
    <m/>
    <m/>
    <d v="2023-12-27T00:00:00"/>
    <x v="10"/>
    <x v="2"/>
    <d v="2023-04-12T00:00:00"/>
    <d v="2023-11-01T00:00:00"/>
  </r>
  <r>
    <n v="2084350"/>
    <m/>
    <x v="1"/>
    <x v="0"/>
    <s v="Phone Service"/>
    <s v="Diego"/>
    <x v="3"/>
    <s v="Corporate Tools"/>
    <s v="note"/>
    <s v="Customer"/>
    <x v="1"/>
    <x v="7"/>
    <m/>
    <m/>
    <d v="2023-02-19T00:00:00"/>
    <x v="11"/>
    <x v="0"/>
    <d v="2023-12-05T00:00:00"/>
    <d v="2023-10-07T00:00:00"/>
  </r>
  <r>
    <n v="2041069"/>
    <m/>
    <x v="1"/>
    <x v="1"/>
    <s v="Phone Service"/>
    <s v="Diego"/>
    <x v="1"/>
    <s v="Corporate Tools"/>
    <s v="note"/>
    <s v="Customer"/>
    <x v="0"/>
    <x v="0"/>
    <m/>
    <m/>
    <d v="2023-04-28T00:00:00"/>
    <x v="5"/>
    <x v="3"/>
    <d v="2023-09-28T00:00:00"/>
    <d v="2023-09-16T00:00:00"/>
  </r>
  <r>
    <n v="2700338"/>
    <m/>
    <x v="1"/>
    <x v="2"/>
    <s v="Phone Service"/>
    <s v="Diego"/>
    <x v="0"/>
    <s v="Corporate Tools"/>
    <s v="note"/>
    <s v="Customer"/>
    <x v="0"/>
    <x v="3"/>
    <m/>
    <m/>
    <d v="2023-12-08T00:00:00"/>
    <x v="10"/>
    <x v="2"/>
    <d v="2023-09-15T00:00:00"/>
    <d v="2023-04-20T00:00:00"/>
  </r>
  <r>
    <n v="2199395"/>
    <m/>
    <x v="1"/>
    <x v="0"/>
    <s v="Phone Service"/>
    <s v="Diego"/>
    <x v="2"/>
    <s v="Corporate Tools"/>
    <s v="note"/>
    <s v="Customer"/>
    <x v="1"/>
    <x v="2"/>
    <m/>
    <m/>
    <d v="2023-09-05T00:00:00"/>
    <x v="1"/>
    <x v="1"/>
    <d v="2023-03-03T00:00:00"/>
    <d v="2023-04-13T00:00:00"/>
  </r>
  <r>
    <n v="2352213"/>
    <m/>
    <x v="2"/>
    <x v="0"/>
    <s v="Phone Service"/>
    <s v="Diego"/>
    <x v="3"/>
    <s v="Corporate Tools"/>
    <s v="note"/>
    <s v="Customer"/>
    <x v="1"/>
    <x v="6"/>
    <m/>
    <m/>
    <d v="2023-08-07T00:00:00"/>
    <x v="8"/>
    <x v="1"/>
    <d v="2023-07-28T00:00:00"/>
    <d v="2023-07-02T00:00:00"/>
  </r>
  <r>
    <n v="2583569"/>
    <m/>
    <x v="2"/>
    <x v="1"/>
    <s v="Phone Service"/>
    <s v="Diego"/>
    <x v="1"/>
    <s v="Corporate Tools"/>
    <s v="note"/>
    <s v="Customer"/>
    <x v="1"/>
    <x v="0"/>
    <m/>
    <m/>
    <d v="2023-01-07T00:00:00"/>
    <x v="0"/>
    <x v="0"/>
    <d v="2023-02-05T00:00:00"/>
    <d v="2023-03-20T00:00:00"/>
  </r>
  <r>
    <n v="2789587"/>
    <m/>
    <x v="2"/>
    <x v="1"/>
    <s v="Phone Service"/>
    <s v="Diego"/>
    <x v="1"/>
    <s v="Corporate Tools"/>
    <s v="note"/>
    <s v="Customer"/>
    <x v="1"/>
    <x v="0"/>
    <m/>
    <m/>
    <d v="2023-03-21T00:00:00"/>
    <x v="7"/>
    <x v="0"/>
    <d v="2023-09-29T00:00:00"/>
    <d v="2023-10-29T00:00:00"/>
  </r>
  <r>
    <n v="2740401"/>
    <m/>
    <x v="2"/>
    <x v="0"/>
    <s v="Phone Service"/>
    <s v="Diego"/>
    <x v="0"/>
    <s v="Corporate Tools"/>
    <s v="note"/>
    <s v="Customer"/>
    <x v="1"/>
    <x v="13"/>
    <m/>
    <m/>
    <d v="2023-09-16T00:00:00"/>
    <x v="1"/>
    <x v="1"/>
    <d v="2023-10-18T00:00:00"/>
    <d v="2023-09-20T00:00:00"/>
  </r>
  <r>
    <n v="2467188"/>
    <m/>
    <x v="1"/>
    <x v="0"/>
    <s v="Phone Service"/>
    <s v="Diego"/>
    <x v="2"/>
    <s v="Corporate Tools"/>
    <s v="note"/>
    <s v="Customer"/>
    <x v="0"/>
    <x v="15"/>
    <m/>
    <m/>
    <d v="2023-01-22T00:00:00"/>
    <x v="0"/>
    <x v="0"/>
    <d v="2023-09-28T00:00:00"/>
    <d v="2023-04-22T00:00:00"/>
  </r>
  <r>
    <n v="2903544"/>
    <m/>
    <x v="1"/>
    <x v="2"/>
    <s v="Phone Service"/>
    <s v="Diego"/>
    <x v="0"/>
    <s v="Corporate Tools"/>
    <s v="note"/>
    <s v="Customer"/>
    <x v="2"/>
    <x v="4"/>
    <m/>
    <m/>
    <d v="2023-08-01T00:00:00"/>
    <x v="8"/>
    <x v="1"/>
    <d v="2023-11-04T00:00:00"/>
    <d v="2023-12-11T00:00:00"/>
  </r>
  <r>
    <n v="2447846"/>
    <m/>
    <x v="0"/>
    <x v="0"/>
    <s v="Phone Service"/>
    <s v="Diego"/>
    <x v="1"/>
    <s v="Corporate Tools"/>
    <s v="note"/>
    <s v="Customer"/>
    <x v="1"/>
    <x v="4"/>
    <m/>
    <m/>
    <d v="2023-10-23T00:00:00"/>
    <x v="3"/>
    <x v="2"/>
    <d v="2023-04-22T00:00:00"/>
    <d v="2023-06-30T00:00:00"/>
  </r>
  <r>
    <n v="2221456"/>
    <m/>
    <x v="1"/>
    <x v="1"/>
    <s v="Phone Service"/>
    <s v="Diego"/>
    <x v="3"/>
    <s v="Corporate Tools"/>
    <s v="note"/>
    <s v="Customer"/>
    <x v="0"/>
    <x v="4"/>
    <m/>
    <m/>
    <d v="2023-10-22T00:00:00"/>
    <x v="3"/>
    <x v="2"/>
    <d v="2023-05-07T00:00:00"/>
    <d v="2023-07-15T00:00:00"/>
  </r>
  <r>
    <n v="2603177"/>
    <m/>
    <x v="2"/>
    <x v="1"/>
    <s v="Phone Service"/>
    <s v="Diego"/>
    <x v="3"/>
    <s v="Corporate Tools"/>
    <s v="note"/>
    <s v="Customer"/>
    <x v="1"/>
    <x v="12"/>
    <m/>
    <m/>
    <d v="2023-08-18T00:00:00"/>
    <x v="8"/>
    <x v="1"/>
    <d v="2023-04-24T00:00:00"/>
    <d v="2023-05-15T00:00:00"/>
  </r>
  <r>
    <n v="2229264"/>
    <m/>
    <x v="0"/>
    <x v="0"/>
    <s v="Phone Service"/>
    <s v="Diego"/>
    <x v="2"/>
    <s v="Corporate Tools"/>
    <s v="note"/>
    <s v="Customer"/>
    <x v="0"/>
    <x v="10"/>
    <m/>
    <m/>
    <d v="2023-11-10T00:00:00"/>
    <x v="9"/>
    <x v="2"/>
    <d v="2023-06-11T00:00:00"/>
    <d v="2023-09-08T00:00:00"/>
  </r>
  <r>
    <n v="2027067"/>
    <m/>
    <x v="0"/>
    <x v="2"/>
    <s v="Phone Service"/>
    <s v="Diego"/>
    <x v="1"/>
    <s v="Corporate Tools"/>
    <s v="note"/>
    <s v="Customer"/>
    <x v="0"/>
    <x v="9"/>
    <m/>
    <m/>
    <d v="2023-10-17T00:00:00"/>
    <x v="3"/>
    <x v="2"/>
    <d v="2023-01-01T00:00:00"/>
    <d v="2023-11-14T00:00:00"/>
  </r>
  <r>
    <n v="2587270"/>
    <m/>
    <x v="0"/>
    <x v="2"/>
    <s v="Phone Service"/>
    <s v="Diego"/>
    <x v="2"/>
    <s v="Corporate Tools"/>
    <s v="note"/>
    <s v="Customer"/>
    <x v="3"/>
    <x v="3"/>
    <m/>
    <m/>
    <d v="2023-11-21T00:00:00"/>
    <x v="9"/>
    <x v="2"/>
    <d v="2023-07-11T00:00:00"/>
    <d v="2023-06-20T00:00:00"/>
  </r>
  <r>
    <n v="2756026"/>
    <m/>
    <x v="1"/>
    <x v="0"/>
    <s v="Phone Service"/>
    <s v="Diego"/>
    <x v="3"/>
    <s v="Corporate Tools"/>
    <s v="note"/>
    <s v="Customer"/>
    <x v="1"/>
    <x v="14"/>
    <m/>
    <m/>
    <d v="2023-03-11T00:00:00"/>
    <x v="7"/>
    <x v="0"/>
    <d v="2023-10-15T00:00:00"/>
    <d v="2023-07-14T00:00:00"/>
  </r>
  <r>
    <n v="2210662"/>
    <m/>
    <x v="2"/>
    <x v="1"/>
    <s v="Phone Service"/>
    <s v="Diego"/>
    <x v="0"/>
    <s v="Corporate Tools"/>
    <s v="note"/>
    <s v="Customer"/>
    <x v="1"/>
    <x v="2"/>
    <m/>
    <m/>
    <d v="2023-05-03T00:00:00"/>
    <x v="4"/>
    <x v="3"/>
    <d v="2023-03-11T00:00:00"/>
    <d v="2023-01-02T00:00:00"/>
  </r>
  <r>
    <n v="2223772"/>
    <m/>
    <x v="0"/>
    <x v="1"/>
    <s v="Phone Service"/>
    <s v="Diego"/>
    <x v="3"/>
    <s v="Corporate Tools"/>
    <s v="note"/>
    <s v="Customer"/>
    <x v="0"/>
    <x v="13"/>
    <m/>
    <m/>
    <d v="2023-09-21T00:00:00"/>
    <x v="1"/>
    <x v="1"/>
    <d v="2023-07-31T00:00:00"/>
    <d v="2023-12-03T00:00:00"/>
  </r>
  <r>
    <n v="2323333"/>
    <m/>
    <x v="2"/>
    <x v="0"/>
    <s v="Phone Service"/>
    <s v="Diego"/>
    <x v="1"/>
    <s v="Corporate Tools"/>
    <s v="note"/>
    <s v="Customer"/>
    <x v="0"/>
    <x v="12"/>
    <m/>
    <m/>
    <d v="2023-12-26T00:00:00"/>
    <x v="10"/>
    <x v="2"/>
    <d v="2023-03-04T00:00:00"/>
    <d v="2023-06-19T00:00:00"/>
  </r>
  <r>
    <n v="2056197"/>
    <m/>
    <x v="1"/>
    <x v="0"/>
    <s v="Phone Service"/>
    <s v="Diego"/>
    <x v="2"/>
    <s v="Corporate Tools"/>
    <s v="note"/>
    <s v="Customer"/>
    <x v="0"/>
    <x v="15"/>
    <m/>
    <m/>
    <d v="2023-09-08T00:00:00"/>
    <x v="1"/>
    <x v="1"/>
    <d v="2023-09-11T00:00:00"/>
    <d v="2023-02-21T00:00:00"/>
  </r>
  <r>
    <n v="2034097"/>
    <m/>
    <x v="2"/>
    <x v="0"/>
    <s v="Phone Service"/>
    <s v="Diego"/>
    <x v="2"/>
    <s v="Corporate Tools"/>
    <s v="note"/>
    <s v="Customer"/>
    <x v="0"/>
    <x v="13"/>
    <m/>
    <m/>
    <d v="2023-04-24T00:00:00"/>
    <x v="5"/>
    <x v="3"/>
    <d v="2023-01-25T00:00:00"/>
    <d v="2023-07-20T00:00:00"/>
  </r>
  <r>
    <n v="2225257"/>
    <m/>
    <x v="0"/>
    <x v="1"/>
    <s v="Phone Service"/>
    <s v="Diego"/>
    <x v="3"/>
    <s v="Corporate Tools"/>
    <s v="note"/>
    <s v="Customer"/>
    <x v="0"/>
    <x v="0"/>
    <m/>
    <m/>
    <d v="2023-06-12T00:00:00"/>
    <x v="6"/>
    <x v="3"/>
    <d v="2023-05-04T00:00:00"/>
    <d v="2023-09-12T00:00:00"/>
  </r>
  <r>
    <n v="2700353"/>
    <m/>
    <x v="0"/>
    <x v="0"/>
    <s v="Phone Service"/>
    <s v="Diego"/>
    <x v="0"/>
    <s v="Corporate Tools"/>
    <s v="note"/>
    <s v="Customer"/>
    <x v="3"/>
    <x v="8"/>
    <m/>
    <m/>
    <d v="2023-11-26T00:00:00"/>
    <x v="9"/>
    <x v="2"/>
    <d v="2023-11-19T00:00:00"/>
    <d v="2023-10-22T00:00:00"/>
  </r>
  <r>
    <n v="2573193"/>
    <m/>
    <x v="0"/>
    <x v="1"/>
    <s v="Phone Service"/>
    <s v="Diego"/>
    <x v="2"/>
    <s v="Corporate Tools"/>
    <s v="note"/>
    <s v="Customer"/>
    <x v="2"/>
    <x v="1"/>
    <m/>
    <m/>
    <d v="2023-11-29T00:00:00"/>
    <x v="9"/>
    <x v="2"/>
    <d v="2023-01-08T00:00:00"/>
    <d v="2023-10-12T00:00:00"/>
  </r>
  <r>
    <n v="2299971"/>
    <m/>
    <x v="0"/>
    <x v="1"/>
    <s v="Phone Service"/>
    <s v="Diego"/>
    <x v="1"/>
    <s v="Corporate Tools"/>
    <s v="note"/>
    <s v="Customer"/>
    <x v="3"/>
    <x v="8"/>
    <m/>
    <m/>
    <d v="2023-02-20T00:00:00"/>
    <x v="11"/>
    <x v="0"/>
    <d v="2023-07-20T00:00:00"/>
    <d v="2023-08-11T00:00:00"/>
  </r>
  <r>
    <n v="2707578"/>
    <m/>
    <x v="1"/>
    <x v="2"/>
    <s v="Phone Service"/>
    <s v="Diego"/>
    <x v="2"/>
    <s v="Corporate Tools"/>
    <s v="note"/>
    <s v="Customer"/>
    <x v="1"/>
    <x v="13"/>
    <m/>
    <m/>
    <d v="2023-04-18T00:00:00"/>
    <x v="5"/>
    <x v="3"/>
    <d v="2023-10-11T00:00:00"/>
    <d v="2023-08-12T00:00:00"/>
  </r>
  <r>
    <n v="2414925"/>
    <m/>
    <x v="0"/>
    <x v="1"/>
    <s v="Phone Service"/>
    <s v="Diego"/>
    <x v="2"/>
    <s v="Corporate Tools"/>
    <s v="note"/>
    <s v="Customer"/>
    <x v="2"/>
    <x v="15"/>
    <m/>
    <m/>
    <d v="2023-08-07T00:00:00"/>
    <x v="8"/>
    <x v="1"/>
    <d v="2023-02-09T00:00:00"/>
    <d v="2023-02-06T00:00:00"/>
  </r>
  <r>
    <n v="2407245"/>
    <m/>
    <x v="2"/>
    <x v="2"/>
    <s v="Phone Service"/>
    <s v="Diego"/>
    <x v="1"/>
    <s v="Corporate Tools"/>
    <s v="note"/>
    <s v="Customer"/>
    <x v="0"/>
    <x v="7"/>
    <m/>
    <m/>
    <d v="2023-07-11T00:00:00"/>
    <x v="2"/>
    <x v="1"/>
    <d v="2023-08-05T00:00:00"/>
    <d v="2023-05-19T00:00:00"/>
  </r>
  <r>
    <n v="2851053"/>
    <m/>
    <x v="2"/>
    <x v="2"/>
    <s v="Phone Service"/>
    <s v="Diego"/>
    <x v="3"/>
    <s v="Corporate Tools"/>
    <s v="note"/>
    <s v="Customer"/>
    <x v="3"/>
    <x v="5"/>
    <m/>
    <m/>
    <d v="2023-05-22T00:00:00"/>
    <x v="4"/>
    <x v="3"/>
    <d v="2023-08-08T00:00:00"/>
    <d v="2023-04-13T00:00:00"/>
  </r>
  <r>
    <n v="2517324"/>
    <m/>
    <x v="2"/>
    <x v="1"/>
    <s v="Phone Service"/>
    <s v="Diego"/>
    <x v="1"/>
    <s v="Corporate Tools"/>
    <s v="note"/>
    <s v="Customer"/>
    <x v="3"/>
    <x v="4"/>
    <m/>
    <m/>
    <d v="2023-08-14T00:00:00"/>
    <x v="8"/>
    <x v="1"/>
    <d v="2023-09-01T00:00:00"/>
    <d v="2023-09-21T00:00:00"/>
  </r>
  <r>
    <n v="2410912"/>
    <m/>
    <x v="1"/>
    <x v="1"/>
    <s v="Phone Service"/>
    <s v="Diego"/>
    <x v="0"/>
    <s v="Corporate Tools"/>
    <s v="note"/>
    <s v="Customer"/>
    <x v="3"/>
    <x v="9"/>
    <m/>
    <m/>
    <d v="2023-12-11T00:00:00"/>
    <x v="10"/>
    <x v="2"/>
    <d v="2023-08-23T00:00:00"/>
    <d v="2023-03-20T00:00:00"/>
  </r>
  <r>
    <n v="2799462"/>
    <m/>
    <x v="2"/>
    <x v="1"/>
    <s v="Phone Service"/>
    <s v="Diego"/>
    <x v="2"/>
    <s v="Corporate Tools"/>
    <s v="note"/>
    <s v="Customer"/>
    <x v="3"/>
    <x v="14"/>
    <m/>
    <m/>
    <d v="2023-12-29T00:00:00"/>
    <x v="10"/>
    <x v="2"/>
    <d v="2023-10-17T00:00:00"/>
    <d v="2024-01-05T00:00:00"/>
  </r>
  <r>
    <n v="2756962"/>
    <m/>
    <x v="1"/>
    <x v="2"/>
    <s v="Phone Service"/>
    <s v="Diego"/>
    <x v="0"/>
    <s v="Corporate Tools"/>
    <s v="note"/>
    <s v="Customer"/>
    <x v="1"/>
    <x v="6"/>
    <m/>
    <m/>
    <d v="2023-03-30T00:00:00"/>
    <x v="7"/>
    <x v="0"/>
    <d v="2024-01-01T00:00:00"/>
    <d v="2023-09-04T00:00:00"/>
  </r>
  <r>
    <n v="2071848"/>
    <m/>
    <x v="2"/>
    <x v="1"/>
    <s v="Phone Service"/>
    <s v="Diego"/>
    <x v="1"/>
    <s v="Corporate Tools"/>
    <s v="note"/>
    <s v="Customer"/>
    <x v="3"/>
    <x v="5"/>
    <m/>
    <m/>
    <d v="2023-12-12T00:00:00"/>
    <x v="10"/>
    <x v="2"/>
    <d v="2023-04-07T00:00:00"/>
    <d v="2023-08-28T00:00:00"/>
  </r>
  <r>
    <n v="2641677"/>
    <m/>
    <x v="2"/>
    <x v="1"/>
    <s v="Phone Service"/>
    <s v="Diego"/>
    <x v="2"/>
    <s v="Corporate Tools"/>
    <s v="note"/>
    <s v="Customer"/>
    <x v="3"/>
    <x v="9"/>
    <m/>
    <m/>
    <d v="2023-01-10T00:00:00"/>
    <x v="0"/>
    <x v="0"/>
    <d v="2023-05-06T00:00:00"/>
    <d v="2023-11-05T00:00:00"/>
  </r>
  <r>
    <n v="2918593"/>
    <m/>
    <x v="2"/>
    <x v="2"/>
    <s v="Phone Service"/>
    <s v="Diego"/>
    <x v="1"/>
    <s v="Corporate Tools"/>
    <s v="note"/>
    <s v="Customer"/>
    <x v="3"/>
    <x v="10"/>
    <m/>
    <m/>
    <d v="2023-02-23T00:00:00"/>
    <x v="11"/>
    <x v="0"/>
    <d v="2023-01-17T00:00:00"/>
    <d v="2023-09-06T00:00:00"/>
  </r>
  <r>
    <n v="2016803"/>
    <m/>
    <x v="0"/>
    <x v="0"/>
    <s v="Phone Service"/>
    <s v="Diego"/>
    <x v="3"/>
    <s v="Corporate Tools"/>
    <s v="note"/>
    <s v="Customer"/>
    <x v="0"/>
    <x v="6"/>
    <m/>
    <m/>
    <d v="2023-11-22T00:00:00"/>
    <x v="9"/>
    <x v="2"/>
    <d v="2023-10-22T00:00:00"/>
    <d v="2023-03-07T00:00:00"/>
  </r>
  <r>
    <n v="2977146"/>
    <m/>
    <x v="1"/>
    <x v="0"/>
    <s v="Phone Service"/>
    <s v="Diego"/>
    <x v="0"/>
    <s v="Corporate Tools"/>
    <s v="note"/>
    <s v="Customer"/>
    <x v="1"/>
    <x v="9"/>
    <m/>
    <m/>
    <d v="2023-10-09T00:00:00"/>
    <x v="3"/>
    <x v="2"/>
    <d v="2023-08-05T00:00:00"/>
    <d v="2023-04-23T00:00:00"/>
  </r>
  <r>
    <n v="2753573"/>
    <m/>
    <x v="2"/>
    <x v="2"/>
    <s v="Phone Service"/>
    <s v="Diego"/>
    <x v="1"/>
    <s v="Corporate Tools"/>
    <s v="note"/>
    <s v="Customer"/>
    <x v="0"/>
    <x v="10"/>
    <m/>
    <m/>
    <d v="2023-12-14T00:00:00"/>
    <x v="10"/>
    <x v="2"/>
    <d v="2023-06-02T00:00:00"/>
    <d v="2023-12-09T00:00:00"/>
  </r>
  <r>
    <n v="2725910"/>
    <m/>
    <x v="2"/>
    <x v="0"/>
    <s v="Phone Service"/>
    <s v="Diego"/>
    <x v="3"/>
    <s v="Corporate Tools"/>
    <s v="note"/>
    <s v="Customer"/>
    <x v="0"/>
    <x v="14"/>
    <m/>
    <m/>
    <d v="2024-01-04T00:00:00"/>
    <x v="0"/>
    <x v="0"/>
    <d v="2023-05-02T00:00:00"/>
    <d v="2023-05-07T00:00:00"/>
  </r>
  <r>
    <n v="2647891"/>
    <m/>
    <x v="1"/>
    <x v="1"/>
    <s v="Phone Service"/>
    <s v="Diego"/>
    <x v="1"/>
    <s v="Corporate Tools"/>
    <s v="note"/>
    <s v="Customer"/>
    <x v="1"/>
    <x v="9"/>
    <m/>
    <m/>
    <d v="2023-01-09T00:00:00"/>
    <x v="0"/>
    <x v="0"/>
    <d v="2023-04-23T00:00:00"/>
    <d v="2023-02-20T00:00:00"/>
  </r>
  <r>
    <n v="2499003"/>
    <m/>
    <x v="0"/>
    <x v="0"/>
    <s v="Phone Service"/>
    <s v="Diego"/>
    <x v="0"/>
    <s v="Corporate Tools"/>
    <s v="note"/>
    <s v="Customer"/>
    <x v="0"/>
    <x v="7"/>
    <m/>
    <m/>
    <d v="2023-05-25T00:00:00"/>
    <x v="4"/>
    <x v="3"/>
    <d v="2023-07-29T00:00:00"/>
    <d v="2023-09-22T00:00:00"/>
  </r>
  <r>
    <n v="2545413"/>
    <m/>
    <x v="1"/>
    <x v="0"/>
    <s v="Phone Service"/>
    <s v="Diego"/>
    <x v="1"/>
    <s v="Corporate Tools"/>
    <s v="note"/>
    <s v="Customer"/>
    <x v="3"/>
    <x v="8"/>
    <m/>
    <m/>
    <d v="2023-09-15T00:00:00"/>
    <x v="1"/>
    <x v="1"/>
    <d v="2023-03-17T00:00:00"/>
    <d v="2023-06-06T00:00:00"/>
  </r>
  <r>
    <n v="2787461"/>
    <m/>
    <x v="0"/>
    <x v="2"/>
    <s v="Phone Service"/>
    <s v="Diego"/>
    <x v="2"/>
    <s v="Corporate Tools"/>
    <s v="note"/>
    <s v="Customer"/>
    <x v="2"/>
    <x v="7"/>
    <m/>
    <m/>
    <d v="2023-11-08T00:00:00"/>
    <x v="9"/>
    <x v="2"/>
    <d v="2023-03-10T00:00:00"/>
    <d v="2023-10-18T00:00:00"/>
  </r>
  <r>
    <n v="2688798"/>
    <m/>
    <x v="0"/>
    <x v="2"/>
    <s v="Phone Service"/>
    <s v="Diego"/>
    <x v="1"/>
    <s v="Corporate Tools"/>
    <s v="note"/>
    <s v="Customer"/>
    <x v="2"/>
    <x v="10"/>
    <m/>
    <m/>
    <d v="2023-01-10T00:00:00"/>
    <x v="0"/>
    <x v="0"/>
    <d v="2023-09-24T00:00:00"/>
    <d v="2023-10-16T00:00:00"/>
  </r>
  <r>
    <n v="2670496"/>
    <m/>
    <x v="0"/>
    <x v="1"/>
    <s v="Phone Service"/>
    <s v="Diego"/>
    <x v="1"/>
    <s v="Corporate Tools"/>
    <s v="note"/>
    <s v="Customer"/>
    <x v="2"/>
    <x v="6"/>
    <m/>
    <m/>
    <d v="2023-10-01T00:00:00"/>
    <x v="3"/>
    <x v="2"/>
    <d v="2023-10-25T00:00:00"/>
    <d v="2023-09-23T00:00:00"/>
  </r>
  <r>
    <n v="2465481"/>
    <m/>
    <x v="0"/>
    <x v="0"/>
    <s v="Phone Service"/>
    <s v="Diego"/>
    <x v="3"/>
    <s v="Corporate Tools"/>
    <s v="note"/>
    <s v="Customer"/>
    <x v="0"/>
    <x v="5"/>
    <m/>
    <m/>
    <d v="2023-12-06T00:00:00"/>
    <x v="10"/>
    <x v="2"/>
    <d v="2023-11-28T00:00:00"/>
    <d v="2023-06-21T00:00:00"/>
  </r>
  <r>
    <n v="2137415"/>
    <m/>
    <x v="0"/>
    <x v="0"/>
    <s v="Phone Service"/>
    <s v="Diego"/>
    <x v="2"/>
    <s v="Corporate Tools"/>
    <s v="note"/>
    <s v="Customer"/>
    <x v="3"/>
    <x v="10"/>
    <m/>
    <m/>
    <d v="2023-08-29T00:00:00"/>
    <x v="8"/>
    <x v="1"/>
    <d v="2023-05-10T00:00:00"/>
    <d v="2023-11-13T00:00:00"/>
  </r>
  <r>
    <n v="2682063"/>
    <m/>
    <x v="1"/>
    <x v="2"/>
    <s v="Phone Service"/>
    <s v="Diego"/>
    <x v="0"/>
    <s v="Corporate Tools"/>
    <s v="note"/>
    <s v="Customer"/>
    <x v="1"/>
    <x v="12"/>
    <m/>
    <m/>
    <d v="2023-10-12T00:00:00"/>
    <x v="3"/>
    <x v="2"/>
    <d v="2023-01-22T00:00:00"/>
    <d v="2023-03-03T00:00:00"/>
  </r>
  <r>
    <n v="2830472"/>
    <m/>
    <x v="0"/>
    <x v="0"/>
    <s v="Phone Service"/>
    <s v="Diego"/>
    <x v="2"/>
    <s v="Corporate Tools"/>
    <s v="note"/>
    <s v="Customer"/>
    <x v="1"/>
    <x v="6"/>
    <m/>
    <m/>
    <d v="2023-05-08T00:00:00"/>
    <x v="4"/>
    <x v="3"/>
    <d v="2023-02-08T00:00:00"/>
    <d v="2023-02-14T00:00:00"/>
  </r>
  <r>
    <n v="2238301"/>
    <m/>
    <x v="1"/>
    <x v="1"/>
    <s v="Phone Service"/>
    <s v="Diego"/>
    <x v="2"/>
    <s v="Corporate Tools"/>
    <s v="note"/>
    <s v="Customer"/>
    <x v="3"/>
    <x v="14"/>
    <m/>
    <m/>
    <d v="2023-01-17T00:00:00"/>
    <x v="0"/>
    <x v="0"/>
    <d v="2023-12-23T00:00:00"/>
    <d v="2023-04-15T00:00:00"/>
  </r>
  <r>
    <n v="2128796"/>
    <m/>
    <x v="0"/>
    <x v="1"/>
    <s v="Phone Service"/>
    <s v="Diego"/>
    <x v="0"/>
    <s v="Corporate Tools"/>
    <s v="note"/>
    <s v="Customer"/>
    <x v="1"/>
    <x v="9"/>
    <m/>
    <m/>
    <d v="2023-11-30T00:00:00"/>
    <x v="9"/>
    <x v="2"/>
    <d v="2023-09-09T00:00:00"/>
    <d v="2023-06-24T00:00:00"/>
  </r>
  <r>
    <n v="2906293"/>
    <m/>
    <x v="0"/>
    <x v="2"/>
    <s v="Phone Service"/>
    <s v="Diego"/>
    <x v="1"/>
    <s v="Corporate Tools"/>
    <s v="note"/>
    <s v="Customer"/>
    <x v="3"/>
    <x v="3"/>
    <m/>
    <m/>
    <d v="2023-07-28T00:00:00"/>
    <x v="2"/>
    <x v="1"/>
    <d v="2023-08-16T00:00:00"/>
    <d v="2023-09-12T00:00:00"/>
  </r>
  <r>
    <n v="2782021"/>
    <m/>
    <x v="0"/>
    <x v="0"/>
    <s v="Phone Service"/>
    <s v="Diego"/>
    <x v="0"/>
    <s v="Corporate Tools"/>
    <s v="note"/>
    <s v="Customer"/>
    <x v="0"/>
    <x v="2"/>
    <m/>
    <m/>
    <d v="2023-07-28T00:00:00"/>
    <x v="2"/>
    <x v="1"/>
    <d v="2023-03-09T00:00:00"/>
    <d v="2023-10-25T00:00:00"/>
  </r>
  <r>
    <n v="2997958"/>
    <m/>
    <x v="2"/>
    <x v="1"/>
    <s v="Phone Service"/>
    <s v="Diego"/>
    <x v="3"/>
    <s v="Corporate Tools"/>
    <s v="note"/>
    <s v="Customer"/>
    <x v="0"/>
    <x v="4"/>
    <m/>
    <m/>
    <d v="2023-01-10T00:00:00"/>
    <x v="0"/>
    <x v="0"/>
    <d v="2023-10-30T00:00:00"/>
    <d v="2023-01-31T00:00:00"/>
  </r>
  <r>
    <n v="2736364"/>
    <m/>
    <x v="2"/>
    <x v="1"/>
    <s v="Phone Service"/>
    <s v="Diego"/>
    <x v="0"/>
    <s v="Corporate Tools"/>
    <s v="note"/>
    <s v="Customer"/>
    <x v="3"/>
    <x v="3"/>
    <m/>
    <m/>
    <d v="2023-07-13T00:00:00"/>
    <x v="2"/>
    <x v="1"/>
    <d v="2023-08-24T00:00:00"/>
    <d v="2023-03-04T00:00:00"/>
  </r>
  <r>
    <n v="2165804"/>
    <m/>
    <x v="2"/>
    <x v="1"/>
    <s v="Phone Service"/>
    <s v="Diego"/>
    <x v="2"/>
    <s v="Corporate Tools"/>
    <s v="note"/>
    <s v="Customer"/>
    <x v="2"/>
    <x v="1"/>
    <m/>
    <m/>
    <d v="2023-08-17T00:00:00"/>
    <x v="8"/>
    <x v="1"/>
    <d v="2023-08-28T00:00:00"/>
    <d v="2023-05-04T00:00:00"/>
  </r>
  <r>
    <n v="2913006"/>
    <m/>
    <x v="1"/>
    <x v="2"/>
    <s v="Phone Service"/>
    <s v="Diego"/>
    <x v="0"/>
    <s v="Corporate Tools"/>
    <s v="note"/>
    <s v="Customer"/>
    <x v="0"/>
    <x v="12"/>
    <m/>
    <m/>
    <d v="2023-01-02T00:00:00"/>
    <x v="0"/>
    <x v="0"/>
    <d v="2023-06-29T00:00:00"/>
    <d v="2023-12-20T00:00:00"/>
  </r>
  <r>
    <n v="2209781"/>
    <m/>
    <x v="1"/>
    <x v="2"/>
    <s v="Phone Service"/>
    <s v="Diego"/>
    <x v="1"/>
    <s v="Corporate Tools"/>
    <s v="note"/>
    <s v="Customer"/>
    <x v="0"/>
    <x v="1"/>
    <m/>
    <m/>
    <d v="2023-03-05T00:00:00"/>
    <x v="7"/>
    <x v="0"/>
    <d v="2023-03-25T00:00:00"/>
    <d v="2023-11-17T00:00:00"/>
  </r>
  <r>
    <n v="2262983"/>
    <m/>
    <x v="0"/>
    <x v="2"/>
    <s v="Phone Service"/>
    <s v="Diego"/>
    <x v="0"/>
    <s v="Corporate Tools"/>
    <s v="note"/>
    <s v="Customer"/>
    <x v="2"/>
    <x v="13"/>
    <m/>
    <m/>
    <d v="2023-01-08T00:00:00"/>
    <x v="0"/>
    <x v="0"/>
    <d v="2023-01-24T00:00:00"/>
    <d v="2023-03-06T00:00:00"/>
  </r>
  <r>
    <n v="2962440"/>
    <m/>
    <x v="1"/>
    <x v="2"/>
    <s v="Phone Service"/>
    <s v="Diego"/>
    <x v="1"/>
    <s v="Corporate Tools"/>
    <s v="note"/>
    <s v="Customer"/>
    <x v="1"/>
    <x v="4"/>
    <m/>
    <m/>
    <d v="2023-06-21T00:00:00"/>
    <x v="6"/>
    <x v="3"/>
    <d v="2023-07-23T00:00:00"/>
    <d v="2023-02-16T00:00:00"/>
  </r>
  <r>
    <n v="2796010"/>
    <m/>
    <x v="1"/>
    <x v="1"/>
    <s v="Phone Service"/>
    <s v="Diego"/>
    <x v="1"/>
    <s v="Corporate Tools"/>
    <s v="note"/>
    <s v="Customer"/>
    <x v="3"/>
    <x v="13"/>
    <m/>
    <m/>
    <d v="2023-11-20T00:00:00"/>
    <x v="9"/>
    <x v="2"/>
    <d v="2023-02-23T00:00:00"/>
    <d v="2023-10-31T00:00:00"/>
  </r>
  <r>
    <n v="2973336"/>
    <m/>
    <x v="2"/>
    <x v="1"/>
    <s v="Phone Service"/>
    <s v="Diego"/>
    <x v="2"/>
    <s v="Corporate Tools"/>
    <s v="note"/>
    <s v="Customer"/>
    <x v="1"/>
    <x v="12"/>
    <m/>
    <m/>
    <d v="2023-11-23T00:00:00"/>
    <x v="9"/>
    <x v="2"/>
    <d v="2023-03-28T00:00:00"/>
    <d v="2023-10-28T00:00:00"/>
  </r>
  <r>
    <n v="2789449"/>
    <m/>
    <x v="1"/>
    <x v="1"/>
    <s v="Phone Service"/>
    <s v="Diego"/>
    <x v="3"/>
    <s v="Corporate Tools"/>
    <s v="note"/>
    <s v="Customer"/>
    <x v="0"/>
    <x v="3"/>
    <m/>
    <m/>
    <d v="2023-08-25T00:00:00"/>
    <x v="8"/>
    <x v="1"/>
    <d v="2023-08-01T00:00:00"/>
    <d v="2023-07-26T00:00:00"/>
  </r>
  <r>
    <n v="2676719"/>
    <m/>
    <x v="2"/>
    <x v="1"/>
    <s v="Phone Service"/>
    <s v="Diego"/>
    <x v="3"/>
    <s v="Corporate Tools"/>
    <s v="note"/>
    <s v="Customer"/>
    <x v="2"/>
    <x v="8"/>
    <m/>
    <m/>
    <d v="2023-08-20T00:00:00"/>
    <x v="8"/>
    <x v="1"/>
    <d v="2023-06-26T00:00:00"/>
    <d v="2023-04-12T00:00:00"/>
  </r>
  <r>
    <n v="2131658"/>
    <m/>
    <x v="1"/>
    <x v="1"/>
    <s v="Phone Service"/>
    <s v="Diego"/>
    <x v="0"/>
    <s v="Corporate Tools"/>
    <s v="note"/>
    <s v="Customer"/>
    <x v="1"/>
    <x v="13"/>
    <m/>
    <m/>
    <d v="2023-05-12T00:00:00"/>
    <x v="4"/>
    <x v="3"/>
    <d v="2023-11-24T00:00:00"/>
    <d v="2023-09-10T00:00:00"/>
  </r>
  <r>
    <n v="2039289"/>
    <m/>
    <x v="1"/>
    <x v="0"/>
    <s v="Phone Service"/>
    <s v="Diego"/>
    <x v="0"/>
    <s v="Corporate Tools"/>
    <s v="note"/>
    <s v="Customer"/>
    <x v="2"/>
    <x v="2"/>
    <m/>
    <m/>
    <d v="2023-05-09T00:00:00"/>
    <x v="4"/>
    <x v="3"/>
    <d v="2023-12-05T00:00:00"/>
    <d v="2023-11-02T00:00:00"/>
  </r>
  <r>
    <n v="2872412"/>
    <m/>
    <x v="1"/>
    <x v="2"/>
    <s v="Phone Service"/>
    <s v="Diego"/>
    <x v="1"/>
    <s v="Corporate Tools"/>
    <s v="note"/>
    <s v="Customer"/>
    <x v="1"/>
    <x v="10"/>
    <m/>
    <m/>
    <d v="2023-08-15T00:00:00"/>
    <x v="8"/>
    <x v="1"/>
    <d v="2023-07-30T00:00:00"/>
    <d v="2023-08-23T00:00:00"/>
  </r>
  <r>
    <n v="2066178"/>
    <m/>
    <x v="2"/>
    <x v="2"/>
    <s v="Phone Service"/>
    <s v="Diego"/>
    <x v="0"/>
    <s v="Corporate Tools"/>
    <s v="note"/>
    <s v="Customer"/>
    <x v="3"/>
    <x v="7"/>
    <m/>
    <m/>
    <d v="2023-08-05T00:00:00"/>
    <x v="8"/>
    <x v="1"/>
    <d v="2023-01-14T00:00:00"/>
    <d v="2023-08-14T00:00:00"/>
  </r>
  <r>
    <n v="2092708"/>
    <m/>
    <x v="2"/>
    <x v="2"/>
    <s v="Phone Service"/>
    <s v="Diego"/>
    <x v="1"/>
    <s v="Corporate Tools"/>
    <s v="note"/>
    <s v="Customer"/>
    <x v="3"/>
    <x v="9"/>
    <m/>
    <m/>
    <d v="2023-02-10T00:00:00"/>
    <x v="11"/>
    <x v="0"/>
    <d v="2023-03-10T00:00:00"/>
    <d v="2023-07-17T00:00:00"/>
  </r>
  <r>
    <n v="2441625"/>
    <m/>
    <x v="2"/>
    <x v="1"/>
    <s v="Phone Service"/>
    <s v="Diego"/>
    <x v="1"/>
    <s v="Corporate Tools"/>
    <s v="note"/>
    <s v="Customer"/>
    <x v="2"/>
    <x v="14"/>
    <m/>
    <m/>
    <d v="2023-08-11T00:00:00"/>
    <x v="8"/>
    <x v="1"/>
    <d v="2023-06-03T00:00:00"/>
    <d v="2023-09-18T00:00:00"/>
  </r>
  <r>
    <n v="2130718"/>
    <m/>
    <x v="2"/>
    <x v="1"/>
    <s v="Phone Service"/>
    <s v="Diego"/>
    <x v="0"/>
    <s v="Corporate Tools"/>
    <s v="note"/>
    <s v="Customer"/>
    <x v="0"/>
    <x v="4"/>
    <m/>
    <m/>
    <d v="2023-10-08T00:00:00"/>
    <x v="3"/>
    <x v="2"/>
    <d v="2023-02-08T00:00:00"/>
    <d v="2023-07-23T00:00:00"/>
  </r>
  <r>
    <n v="2500695"/>
    <m/>
    <x v="2"/>
    <x v="2"/>
    <s v="Phone Service"/>
    <s v="Diego"/>
    <x v="3"/>
    <s v="Corporate Tools"/>
    <s v="note"/>
    <s v="Customer"/>
    <x v="3"/>
    <x v="10"/>
    <m/>
    <m/>
    <d v="2023-04-11T00:00:00"/>
    <x v="5"/>
    <x v="3"/>
    <d v="2023-02-14T00:00:00"/>
    <d v="2023-06-20T00:00:00"/>
  </r>
  <r>
    <n v="2006780"/>
    <m/>
    <x v="0"/>
    <x v="0"/>
    <s v="Phone Service"/>
    <s v="Diego"/>
    <x v="0"/>
    <s v="Corporate Tools"/>
    <s v="note"/>
    <s v="Customer"/>
    <x v="1"/>
    <x v="1"/>
    <m/>
    <m/>
    <d v="2023-02-08T00:00:00"/>
    <x v="11"/>
    <x v="0"/>
    <d v="2023-07-04T00:00:00"/>
    <d v="2023-07-11T00:00:00"/>
  </r>
  <r>
    <n v="2518693"/>
    <m/>
    <x v="1"/>
    <x v="1"/>
    <s v="Phone Service"/>
    <s v="Diego"/>
    <x v="3"/>
    <s v="Corporate Tools"/>
    <s v="note"/>
    <s v="Customer"/>
    <x v="1"/>
    <x v="11"/>
    <m/>
    <m/>
    <d v="2023-03-28T00:00:00"/>
    <x v="7"/>
    <x v="0"/>
    <d v="2023-07-15T00:00:00"/>
    <d v="2023-09-14T00:00:00"/>
  </r>
  <r>
    <n v="2590969"/>
    <m/>
    <x v="0"/>
    <x v="0"/>
    <s v="Phone Service"/>
    <s v="Diego"/>
    <x v="1"/>
    <s v="Corporate Tools"/>
    <s v="note"/>
    <s v="Customer"/>
    <x v="3"/>
    <x v="0"/>
    <m/>
    <m/>
    <d v="2023-08-21T00:00:00"/>
    <x v="8"/>
    <x v="1"/>
    <d v="2023-09-02T00:00:00"/>
    <d v="2023-06-05T00:00:00"/>
  </r>
  <r>
    <n v="2242641"/>
    <m/>
    <x v="1"/>
    <x v="2"/>
    <s v="Phone Service"/>
    <s v="Diego"/>
    <x v="0"/>
    <s v="Corporate Tools"/>
    <s v="note"/>
    <s v="Customer"/>
    <x v="3"/>
    <x v="14"/>
    <m/>
    <m/>
    <d v="2023-02-02T00:00:00"/>
    <x v="11"/>
    <x v="0"/>
    <d v="2023-12-06T00:00:00"/>
    <d v="2023-07-18T00:00:00"/>
  </r>
  <r>
    <n v="2137599"/>
    <m/>
    <x v="2"/>
    <x v="0"/>
    <s v="Phone Service"/>
    <s v="Diego"/>
    <x v="2"/>
    <s v="Corporate Tools"/>
    <s v="note"/>
    <s v="Customer"/>
    <x v="2"/>
    <x v="13"/>
    <m/>
    <m/>
    <d v="2023-12-20T00:00:00"/>
    <x v="10"/>
    <x v="2"/>
    <d v="2023-09-15T00:00:00"/>
    <d v="2023-01-28T00:00:00"/>
  </r>
  <r>
    <n v="2378181"/>
    <m/>
    <x v="0"/>
    <x v="0"/>
    <s v="Phone Service"/>
    <s v="Diego"/>
    <x v="0"/>
    <s v="Corporate Tools"/>
    <s v="note"/>
    <s v="Customer"/>
    <x v="1"/>
    <x v="8"/>
    <m/>
    <m/>
    <d v="2023-02-24T00:00:00"/>
    <x v="11"/>
    <x v="0"/>
    <d v="2023-07-04T00:00:00"/>
    <d v="2023-05-15T00:00:00"/>
  </r>
  <r>
    <n v="2368253"/>
    <m/>
    <x v="0"/>
    <x v="2"/>
    <s v="Phone Service"/>
    <s v="Diego"/>
    <x v="3"/>
    <s v="Corporate Tools"/>
    <s v="note"/>
    <s v="Customer"/>
    <x v="1"/>
    <x v="4"/>
    <m/>
    <m/>
    <d v="2023-08-23T00:00:00"/>
    <x v="8"/>
    <x v="1"/>
    <d v="2023-07-01T00:00:00"/>
    <d v="2023-01-25T00:00:00"/>
  </r>
  <r>
    <n v="2707633"/>
    <m/>
    <x v="1"/>
    <x v="0"/>
    <s v="Phone Service"/>
    <s v="Diego"/>
    <x v="0"/>
    <s v="Corporate Tools"/>
    <s v="note"/>
    <s v="Customer"/>
    <x v="2"/>
    <x v="6"/>
    <m/>
    <m/>
    <d v="2023-07-24T00:00:00"/>
    <x v="2"/>
    <x v="1"/>
    <d v="2023-11-11T00:00:00"/>
    <d v="2023-02-10T00:00:00"/>
  </r>
  <r>
    <n v="2806282"/>
    <m/>
    <x v="2"/>
    <x v="1"/>
    <s v="Phone Service"/>
    <s v="Diego"/>
    <x v="0"/>
    <s v="Corporate Tools"/>
    <s v="note"/>
    <s v="Customer"/>
    <x v="1"/>
    <x v="12"/>
    <m/>
    <m/>
    <d v="2023-12-04T00:00:00"/>
    <x v="10"/>
    <x v="2"/>
    <d v="2023-05-23T00:00:00"/>
    <d v="2023-11-09T00:00:00"/>
  </r>
  <r>
    <n v="2460172"/>
    <m/>
    <x v="0"/>
    <x v="2"/>
    <s v="Phone Service"/>
    <s v="Diego"/>
    <x v="2"/>
    <s v="Corporate Tools"/>
    <s v="note"/>
    <s v="Customer"/>
    <x v="1"/>
    <x v="14"/>
    <m/>
    <m/>
    <d v="2023-09-04T00:00:00"/>
    <x v="1"/>
    <x v="1"/>
    <d v="2023-01-29T00:00:00"/>
    <d v="2023-01-15T00:00:00"/>
  </r>
  <r>
    <n v="2332508"/>
    <m/>
    <x v="2"/>
    <x v="0"/>
    <s v="Phone Service"/>
    <s v="Diego"/>
    <x v="0"/>
    <s v="Corporate Tools"/>
    <s v="note"/>
    <s v="Customer"/>
    <x v="2"/>
    <x v="13"/>
    <m/>
    <m/>
    <d v="2023-12-01T00:00:00"/>
    <x v="10"/>
    <x v="2"/>
    <d v="2023-10-17T00:00:00"/>
    <d v="2023-04-20T00:00:00"/>
  </r>
  <r>
    <n v="2843220"/>
    <m/>
    <x v="2"/>
    <x v="2"/>
    <s v="Phone Service"/>
    <s v="Diego"/>
    <x v="0"/>
    <s v="Corporate Tools"/>
    <s v="note"/>
    <s v="Customer"/>
    <x v="3"/>
    <x v="6"/>
    <m/>
    <m/>
    <d v="2023-10-07T00:00:00"/>
    <x v="3"/>
    <x v="2"/>
    <d v="2023-12-19T00:00:00"/>
    <d v="2023-11-30T00:00:00"/>
  </r>
  <r>
    <n v="2250327"/>
    <m/>
    <x v="1"/>
    <x v="0"/>
    <s v="Phone Service"/>
    <s v="Diego"/>
    <x v="0"/>
    <s v="Corporate Tools"/>
    <s v="note"/>
    <s v="Customer"/>
    <x v="2"/>
    <x v="6"/>
    <m/>
    <m/>
    <d v="2023-05-28T00:00:00"/>
    <x v="4"/>
    <x v="3"/>
    <d v="2023-09-23T00:00:00"/>
    <d v="2023-06-24T00:00:00"/>
  </r>
  <r>
    <n v="2449368"/>
    <m/>
    <x v="0"/>
    <x v="1"/>
    <s v="Phone Service"/>
    <s v="Diego"/>
    <x v="2"/>
    <s v="Corporate Tools"/>
    <s v="note"/>
    <s v="Customer"/>
    <x v="2"/>
    <x v="11"/>
    <m/>
    <m/>
    <d v="2023-07-09T00:00:00"/>
    <x v="2"/>
    <x v="1"/>
    <d v="2023-04-18T00:00:00"/>
    <d v="2023-07-23T00:00:00"/>
  </r>
  <r>
    <n v="2992346"/>
    <m/>
    <x v="2"/>
    <x v="1"/>
    <s v="Phone Service"/>
    <s v="Diego"/>
    <x v="3"/>
    <s v="Corporate Tools"/>
    <s v="note"/>
    <s v="Customer"/>
    <x v="3"/>
    <x v="6"/>
    <m/>
    <m/>
    <d v="2023-08-21T00:00:00"/>
    <x v="8"/>
    <x v="1"/>
    <d v="2023-04-26T00:00:00"/>
    <d v="2023-06-09T00:00:00"/>
  </r>
  <r>
    <n v="2362522"/>
    <m/>
    <x v="0"/>
    <x v="2"/>
    <s v="Phone Service"/>
    <s v="Diego"/>
    <x v="1"/>
    <s v="Corporate Tools"/>
    <s v="note"/>
    <s v="Customer"/>
    <x v="0"/>
    <x v="12"/>
    <m/>
    <m/>
    <d v="2024-01-05T00:00:00"/>
    <x v="0"/>
    <x v="0"/>
    <d v="2023-04-16T00:00:00"/>
    <d v="2023-03-13T00:00:00"/>
  </r>
  <r>
    <n v="2927841"/>
    <m/>
    <x v="1"/>
    <x v="2"/>
    <s v="Phone Service"/>
    <s v="Diego"/>
    <x v="1"/>
    <s v="Corporate Tools"/>
    <s v="note"/>
    <s v="Customer"/>
    <x v="0"/>
    <x v="6"/>
    <m/>
    <m/>
    <d v="2023-01-30T00:00:00"/>
    <x v="0"/>
    <x v="0"/>
    <d v="2023-02-26T00:00:00"/>
    <d v="2023-02-02T00:00:00"/>
  </r>
  <r>
    <n v="2148715"/>
    <m/>
    <x v="0"/>
    <x v="1"/>
    <s v="Phone Service"/>
    <s v="Diego"/>
    <x v="1"/>
    <s v="Corporate Tools"/>
    <s v="note"/>
    <s v="Customer"/>
    <x v="3"/>
    <x v="13"/>
    <m/>
    <m/>
    <d v="2023-12-19T00:00:00"/>
    <x v="10"/>
    <x v="2"/>
    <d v="2023-06-28T00:00:00"/>
    <d v="2024-01-07T00:00:00"/>
  </r>
  <r>
    <n v="2042401"/>
    <m/>
    <x v="2"/>
    <x v="1"/>
    <s v="Phone Service"/>
    <s v="Diego"/>
    <x v="0"/>
    <s v="Corporate Tools"/>
    <s v="note"/>
    <s v="Customer"/>
    <x v="2"/>
    <x v="1"/>
    <m/>
    <m/>
    <d v="2023-09-13T00:00:00"/>
    <x v="1"/>
    <x v="1"/>
    <d v="2023-09-11T00:00:00"/>
    <d v="2023-04-19T00:00:00"/>
  </r>
  <r>
    <n v="2451483"/>
    <m/>
    <x v="2"/>
    <x v="1"/>
    <s v="Phone Service"/>
    <s v="Diego"/>
    <x v="1"/>
    <s v="Corporate Tools"/>
    <s v="note"/>
    <s v="Customer"/>
    <x v="2"/>
    <x v="2"/>
    <m/>
    <m/>
    <d v="2023-02-01T00:00:00"/>
    <x v="11"/>
    <x v="0"/>
    <d v="2023-06-07T00:00:00"/>
    <d v="2023-05-14T00:00:00"/>
  </r>
  <r>
    <n v="2910302"/>
    <m/>
    <x v="0"/>
    <x v="1"/>
    <s v="Phone Service"/>
    <s v="Diego"/>
    <x v="3"/>
    <s v="Corporate Tools"/>
    <s v="note"/>
    <s v="Customer"/>
    <x v="1"/>
    <x v="0"/>
    <m/>
    <m/>
    <d v="2023-12-04T00:00:00"/>
    <x v="10"/>
    <x v="2"/>
    <d v="2023-02-12T00:00:00"/>
    <d v="2023-07-21T00:00:00"/>
  </r>
  <r>
    <n v="2601071"/>
    <m/>
    <x v="0"/>
    <x v="0"/>
    <s v="Phone Service"/>
    <s v="Diego"/>
    <x v="3"/>
    <s v="Corporate Tools"/>
    <s v="note"/>
    <s v="Customer"/>
    <x v="0"/>
    <x v="4"/>
    <m/>
    <m/>
    <d v="2023-06-11T00:00:00"/>
    <x v="6"/>
    <x v="3"/>
    <d v="2023-10-17T00:00:00"/>
    <d v="2023-09-14T00:00:00"/>
  </r>
  <r>
    <n v="2792581"/>
    <m/>
    <x v="1"/>
    <x v="2"/>
    <s v="Phone Service"/>
    <s v="Diego"/>
    <x v="1"/>
    <s v="Corporate Tools"/>
    <s v="note"/>
    <s v="Customer"/>
    <x v="3"/>
    <x v="1"/>
    <m/>
    <m/>
    <d v="2023-05-09T00:00:00"/>
    <x v="4"/>
    <x v="3"/>
    <d v="2023-05-09T00:00:00"/>
    <d v="2023-08-17T00:00:00"/>
  </r>
  <r>
    <n v="2886662"/>
    <m/>
    <x v="1"/>
    <x v="1"/>
    <s v="Phone Service"/>
    <s v="Diego"/>
    <x v="0"/>
    <s v="Corporate Tools"/>
    <s v="note"/>
    <s v="Customer"/>
    <x v="3"/>
    <x v="3"/>
    <m/>
    <m/>
    <d v="2023-12-24T00:00:00"/>
    <x v="10"/>
    <x v="2"/>
    <d v="2023-10-22T00:00:00"/>
    <d v="2023-10-22T00:00:00"/>
  </r>
  <r>
    <n v="2777908"/>
    <m/>
    <x v="0"/>
    <x v="0"/>
    <s v="Phone Service"/>
    <s v="Diego"/>
    <x v="0"/>
    <s v="Corporate Tools"/>
    <s v="note"/>
    <s v="Customer"/>
    <x v="2"/>
    <x v="15"/>
    <m/>
    <m/>
    <d v="2023-09-22T00:00:00"/>
    <x v="1"/>
    <x v="1"/>
    <d v="2023-01-24T00:00:00"/>
    <d v="2023-06-30T00:00:00"/>
  </r>
  <r>
    <n v="2954784"/>
    <m/>
    <x v="1"/>
    <x v="1"/>
    <s v="Phone Service"/>
    <s v="Diego"/>
    <x v="2"/>
    <s v="Corporate Tools"/>
    <s v="note"/>
    <s v="Customer"/>
    <x v="2"/>
    <x v="4"/>
    <m/>
    <m/>
    <d v="2023-07-29T00:00:00"/>
    <x v="2"/>
    <x v="1"/>
    <d v="2023-09-06T00:00:00"/>
    <d v="2023-12-01T00:00:00"/>
  </r>
  <r>
    <n v="2611203"/>
    <m/>
    <x v="0"/>
    <x v="1"/>
    <s v="Phone Service"/>
    <s v="Diego"/>
    <x v="1"/>
    <s v="Corporate Tools"/>
    <s v="note"/>
    <s v="Customer"/>
    <x v="0"/>
    <x v="2"/>
    <m/>
    <m/>
    <d v="2023-03-16T00:00:00"/>
    <x v="7"/>
    <x v="0"/>
    <d v="2023-10-27T00:00:00"/>
    <d v="2023-02-22T00:00:00"/>
  </r>
  <r>
    <n v="2601005"/>
    <m/>
    <x v="0"/>
    <x v="1"/>
    <s v="Phone Service"/>
    <s v="Diego"/>
    <x v="2"/>
    <s v="Corporate Tools"/>
    <s v="note"/>
    <s v="Customer"/>
    <x v="3"/>
    <x v="13"/>
    <m/>
    <m/>
    <d v="2023-01-05T00:00:00"/>
    <x v="0"/>
    <x v="0"/>
    <d v="2023-09-29T00:00:00"/>
    <d v="2023-04-13T00:00:00"/>
  </r>
  <r>
    <n v="2673149"/>
    <m/>
    <x v="2"/>
    <x v="1"/>
    <s v="Phone Service"/>
    <s v="Diego"/>
    <x v="3"/>
    <s v="Corporate Tools"/>
    <s v="note"/>
    <s v="Customer"/>
    <x v="3"/>
    <x v="6"/>
    <m/>
    <m/>
    <d v="2023-12-28T00:00:00"/>
    <x v="10"/>
    <x v="2"/>
    <d v="2023-07-02T00:00:00"/>
    <d v="2023-04-14T00:00:00"/>
  </r>
  <r>
    <n v="2500060"/>
    <m/>
    <x v="1"/>
    <x v="2"/>
    <s v="Phone Service"/>
    <s v="Diego"/>
    <x v="0"/>
    <s v="Corporate Tools"/>
    <s v="note"/>
    <s v="Customer"/>
    <x v="1"/>
    <x v="12"/>
    <m/>
    <m/>
    <d v="2023-07-08T00:00:00"/>
    <x v="2"/>
    <x v="1"/>
    <d v="2023-04-03T00:00:00"/>
    <d v="2023-03-30T00:00:00"/>
  </r>
  <r>
    <n v="2743328"/>
    <m/>
    <x v="1"/>
    <x v="2"/>
    <s v="Phone Service"/>
    <s v="Diego"/>
    <x v="1"/>
    <s v="Corporate Tools"/>
    <s v="note"/>
    <s v="Customer"/>
    <x v="0"/>
    <x v="13"/>
    <m/>
    <m/>
    <d v="2023-10-24T00:00:00"/>
    <x v="3"/>
    <x v="2"/>
    <d v="2023-05-28T00:00:00"/>
    <d v="2023-08-01T00:00:00"/>
  </r>
  <r>
    <n v="2870637"/>
    <m/>
    <x v="2"/>
    <x v="1"/>
    <s v="Phone Service"/>
    <s v="Diego"/>
    <x v="0"/>
    <s v="Corporate Tools"/>
    <s v="note"/>
    <s v="Customer"/>
    <x v="3"/>
    <x v="8"/>
    <m/>
    <m/>
    <d v="2023-12-31T00:00:00"/>
    <x v="10"/>
    <x v="2"/>
    <d v="2023-03-23T00:00:00"/>
    <d v="2023-10-10T00:00:00"/>
  </r>
  <r>
    <n v="2786667"/>
    <m/>
    <x v="2"/>
    <x v="0"/>
    <s v="Phone Service"/>
    <s v="Diego"/>
    <x v="1"/>
    <s v="Corporate Tools"/>
    <s v="note"/>
    <s v="Customer"/>
    <x v="2"/>
    <x v="5"/>
    <m/>
    <m/>
    <d v="2023-01-25T00:00:00"/>
    <x v="0"/>
    <x v="0"/>
    <d v="2023-07-08T00:00:00"/>
    <d v="2023-12-22T00:00:00"/>
  </r>
  <r>
    <n v="2816631"/>
    <m/>
    <x v="0"/>
    <x v="0"/>
    <s v="Phone Service"/>
    <s v="Diego"/>
    <x v="2"/>
    <s v="Corporate Tools"/>
    <s v="note"/>
    <s v="Customer"/>
    <x v="2"/>
    <x v="15"/>
    <m/>
    <m/>
    <d v="2023-01-10T00:00:00"/>
    <x v="0"/>
    <x v="0"/>
    <d v="2023-10-20T00:00:00"/>
    <d v="2023-09-06T00:00:00"/>
  </r>
  <r>
    <n v="2679426"/>
    <m/>
    <x v="1"/>
    <x v="2"/>
    <s v="Phone Service"/>
    <s v="Diego"/>
    <x v="0"/>
    <s v="Corporate Tools"/>
    <s v="note"/>
    <s v="Customer"/>
    <x v="1"/>
    <x v="10"/>
    <m/>
    <m/>
    <d v="2023-11-23T00:00:00"/>
    <x v="9"/>
    <x v="2"/>
    <d v="2023-02-28T00:00:00"/>
    <d v="2024-01-03T00:00:00"/>
  </r>
  <r>
    <n v="2709094"/>
    <m/>
    <x v="0"/>
    <x v="2"/>
    <s v="Phone Service"/>
    <s v="Diego"/>
    <x v="1"/>
    <s v="Corporate Tools"/>
    <s v="note"/>
    <s v="Customer"/>
    <x v="0"/>
    <x v="7"/>
    <m/>
    <m/>
    <d v="2024-01-07T00:00:00"/>
    <x v="0"/>
    <x v="0"/>
    <d v="2023-06-23T00:00:00"/>
    <d v="2023-06-06T00:00:00"/>
  </r>
  <r>
    <n v="2556915"/>
    <m/>
    <x v="2"/>
    <x v="0"/>
    <s v="Phone Service"/>
    <s v="Diego"/>
    <x v="0"/>
    <s v="Corporate Tools"/>
    <s v="note"/>
    <s v="Customer"/>
    <x v="1"/>
    <x v="13"/>
    <m/>
    <m/>
    <d v="2023-10-04T00:00:00"/>
    <x v="3"/>
    <x v="2"/>
    <d v="2023-07-03T00:00:00"/>
    <d v="2023-08-10T00:00:00"/>
  </r>
  <r>
    <n v="2580089"/>
    <m/>
    <x v="2"/>
    <x v="0"/>
    <s v="Phone Service"/>
    <s v="Diego"/>
    <x v="2"/>
    <s v="Corporate Tools"/>
    <s v="note"/>
    <s v="Customer"/>
    <x v="3"/>
    <x v="3"/>
    <m/>
    <m/>
    <d v="2023-03-11T00:00:00"/>
    <x v="7"/>
    <x v="0"/>
    <d v="2023-06-12T00:00:00"/>
    <d v="2023-12-21T00:00:00"/>
  </r>
  <r>
    <n v="2167208"/>
    <m/>
    <x v="0"/>
    <x v="2"/>
    <s v="Phone Service"/>
    <s v="Diego"/>
    <x v="3"/>
    <s v="Corporate Tools"/>
    <s v="note"/>
    <s v="Customer"/>
    <x v="0"/>
    <x v="11"/>
    <m/>
    <m/>
    <d v="2023-03-27T00:00:00"/>
    <x v="7"/>
    <x v="0"/>
    <d v="2023-12-26T00:00:00"/>
    <d v="2023-11-12T00:00:00"/>
  </r>
  <r>
    <n v="2864058"/>
    <m/>
    <x v="1"/>
    <x v="1"/>
    <s v="Phone Service"/>
    <s v="Diego"/>
    <x v="3"/>
    <s v="Corporate Tools"/>
    <s v="note"/>
    <s v="Customer"/>
    <x v="0"/>
    <x v="5"/>
    <m/>
    <m/>
    <d v="2023-06-01T00:00:00"/>
    <x v="6"/>
    <x v="3"/>
    <d v="2023-06-18T00:00:00"/>
    <d v="2023-01-25T00:00:00"/>
  </r>
  <r>
    <n v="2410670"/>
    <m/>
    <x v="2"/>
    <x v="1"/>
    <s v="Phone Service"/>
    <s v="Diego"/>
    <x v="1"/>
    <s v="Corporate Tools"/>
    <s v="note"/>
    <s v="Customer"/>
    <x v="2"/>
    <x v="3"/>
    <m/>
    <m/>
    <d v="2023-07-11T00:00:00"/>
    <x v="2"/>
    <x v="1"/>
    <d v="2023-05-14T00:00:00"/>
    <d v="2023-07-02T00:00:00"/>
  </r>
  <r>
    <n v="2189013"/>
    <m/>
    <x v="1"/>
    <x v="0"/>
    <s v="Phone Service"/>
    <s v="Diego"/>
    <x v="2"/>
    <s v="Corporate Tools"/>
    <s v="note"/>
    <s v="Customer"/>
    <x v="0"/>
    <x v="6"/>
    <m/>
    <m/>
    <d v="2023-05-23T00:00:00"/>
    <x v="4"/>
    <x v="3"/>
    <d v="2023-04-23T00:00:00"/>
    <d v="2023-06-26T00:00:00"/>
  </r>
  <r>
    <n v="2881185"/>
    <m/>
    <x v="0"/>
    <x v="1"/>
    <s v="Phone Service"/>
    <s v="Diego"/>
    <x v="2"/>
    <s v="Corporate Tools"/>
    <s v="note"/>
    <s v="Customer"/>
    <x v="2"/>
    <x v="0"/>
    <m/>
    <m/>
    <d v="2023-12-16T00:00:00"/>
    <x v="10"/>
    <x v="2"/>
    <d v="2023-08-29T00:00:00"/>
    <d v="2023-05-21T00:00:00"/>
  </r>
  <r>
    <n v="2666223"/>
    <m/>
    <x v="2"/>
    <x v="1"/>
    <s v="Phone Service"/>
    <s v="Diego"/>
    <x v="0"/>
    <s v="Corporate Tools"/>
    <s v="note"/>
    <s v="Customer"/>
    <x v="2"/>
    <x v="9"/>
    <m/>
    <m/>
    <d v="2023-05-02T00:00:00"/>
    <x v="4"/>
    <x v="3"/>
    <d v="2023-11-19T00:00:00"/>
    <d v="2023-09-27T00:00:00"/>
  </r>
  <r>
    <n v="2419320"/>
    <m/>
    <x v="1"/>
    <x v="2"/>
    <s v="Phone Service"/>
    <s v="Diego"/>
    <x v="0"/>
    <s v="Corporate Tools"/>
    <s v="note"/>
    <s v="Customer"/>
    <x v="2"/>
    <x v="9"/>
    <m/>
    <m/>
    <d v="2023-09-19T00:00:00"/>
    <x v="1"/>
    <x v="1"/>
    <d v="2023-02-16T00:00:00"/>
    <d v="2023-09-16T00:00:00"/>
  </r>
  <r>
    <n v="2946354"/>
    <m/>
    <x v="0"/>
    <x v="2"/>
    <s v="Phone Service"/>
    <s v="Diego"/>
    <x v="3"/>
    <s v="Corporate Tools"/>
    <s v="note"/>
    <s v="Customer"/>
    <x v="1"/>
    <x v="12"/>
    <m/>
    <m/>
    <d v="2023-11-08T00:00:00"/>
    <x v="9"/>
    <x v="2"/>
    <d v="2023-06-13T00:00:00"/>
    <d v="2023-06-07T00:00:00"/>
  </r>
  <r>
    <n v="2314537"/>
    <m/>
    <x v="1"/>
    <x v="2"/>
    <s v="Phone Service"/>
    <s v="Diego"/>
    <x v="0"/>
    <s v="Corporate Tools"/>
    <s v="note"/>
    <s v="Customer"/>
    <x v="1"/>
    <x v="14"/>
    <m/>
    <m/>
    <d v="2023-06-05T00:00:00"/>
    <x v="6"/>
    <x v="3"/>
    <d v="2023-02-09T00:00:00"/>
    <d v="2023-02-10T00:00:00"/>
  </r>
  <r>
    <n v="2369411"/>
    <m/>
    <x v="2"/>
    <x v="0"/>
    <s v="Phone Service"/>
    <s v="Diego"/>
    <x v="1"/>
    <s v="Corporate Tools"/>
    <s v="note"/>
    <s v="Customer"/>
    <x v="3"/>
    <x v="12"/>
    <m/>
    <m/>
    <d v="2023-08-22T00:00:00"/>
    <x v="8"/>
    <x v="1"/>
    <d v="2023-08-27T00:00:00"/>
    <d v="2023-03-15T00:00:00"/>
  </r>
  <r>
    <n v="2647552"/>
    <m/>
    <x v="1"/>
    <x v="2"/>
    <s v="Phone Service"/>
    <s v="Diego"/>
    <x v="0"/>
    <s v="Corporate Tools"/>
    <s v="note"/>
    <s v="Customer"/>
    <x v="2"/>
    <x v="4"/>
    <m/>
    <m/>
    <d v="2023-04-20T00:00:00"/>
    <x v="5"/>
    <x v="3"/>
    <d v="2023-03-22T00:00:00"/>
    <d v="2023-04-20T00:00:00"/>
  </r>
  <r>
    <n v="2384606"/>
    <m/>
    <x v="2"/>
    <x v="1"/>
    <s v="Phone Service"/>
    <s v="Diego"/>
    <x v="3"/>
    <s v="Corporate Tools"/>
    <s v="note"/>
    <s v="Customer"/>
    <x v="1"/>
    <x v="8"/>
    <m/>
    <m/>
    <d v="2023-10-28T00:00:00"/>
    <x v="3"/>
    <x v="2"/>
    <d v="2023-08-21T00:00:00"/>
    <d v="2023-06-20T00:00:00"/>
  </r>
  <r>
    <n v="2052944"/>
    <m/>
    <x v="0"/>
    <x v="2"/>
    <s v="Phone Service"/>
    <s v="Diego"/>
    <x v="2"/>
    <s v="Corporate Tools"/>
    <s v="note"/>
    <s v="Customer"/>
    <x v="1"/>
    <x v="9"/>
    <m/>
    <m/>
    <d v="2023-04-30T00:00:00"/>
    <x v="5"/>
    <x v="3"/>
    <d v="2023-02-25T00:00:00"/>
    <d v="2023-06-28T00:00:00"/>
  </r>
  <r>
    <n v="2443900"/>
    <m/>
    <x v="1"/>
    <x v="1"/>
    <s v="Phone Service"/>
    <s v="Diego"/>
    <x v="0"/>
    <s v="Corporate Tools"/>
    <s v="note"/>
    <s v="Customer"/>
    <x v="3"/>
    <x v="0"/>
    <m/>
    <m/>
    <d v="2023-01-24T00:00:00"/>
    <x v="0"/>
    <x v="0"/>
    <d v="2023-11-08T00:00:00"/>
    <d v="2023-08-22T00:00:00"/>
  </r>
  <r>
    <n v="2522804"/>
    <m/>
    <x v="0"/>
    <x v="2"/>
    <s v="Phone Service"/>
    <s v="Diego"/>
    <x v="1"/>
    <s v="Corporate Tools"/>
    <s v="note"/>
    <s v="Customer"/>
    <x v="3"/>
    <x v="0"/>
    <m/>
    <m/>
    <d v="2023-04-18T00:00:00"/>
    <x v="5"/>
    <x v="3"/>
    <d v="2023-06-21T00:00:00"/>
    <d v="2023-01-04T00:00:00"/>
  </r>
  <r>
    <n v="2770619"/>
    <m/>
    <x v="2"/>
    <x v="0"/>
    <s v="Phone Service"/>
    <s v="Diego"/>
    <x v="0"/>
    <s v="Corporate Tools"/>
    <s v="note"/>
    <s v="Customer"/>
    <x v="2"/>
    <x v="5"/>
    <m/>
    <m/>
    <d v="2023-07-14T00:00:00"/>
    <x v="2"/>
    <x v="1"/>
    <d v="2023-03-07T00:00:00"/>
    <d v="2023-08-12T00:00:00"/>
  </r>
  <r>
    <n v="2229660"/>
    <m/>
    <x v="0"/>
    <x v="1"/>
    <s v="Phone Service"/>
    <s v="Diego"/>
    <x v="3"/>
    <s v="Corporate Tools"/>
    <s v="note"/>
    <s v="Customer"/>
    <x v="0"/>
    <x v="6"/>
    <m/>
    <m/>
    <d v="2023-03-30T00:00:00"/>
    <x v="7"/>
    <x v="0"/>
    <d v="2023-10-23T00:00:00"/>
    <d v="2023-04-27T00:00:00"/>
  </r>
  <r>
    <n v="2658933"/>
    <m/>
    <x v="2"/>
    <x v="2"/>
    <s v="Phone Service"/>
    <s v="Diego"/>
    <x v="0"/>
    <s v="Corporate Tools"/>
    <s v="note"/>
    <s v="Customer"/>
    <x v="2"/>
    <x v="9"/>
    <m/>
    <m/>
    <d v="2023-01-26T00:00:00"/>
    <x v="0"/>
    <x v="0"/>
    <d v="2023-02-06T00:00:00"/>
    <d v="2023-01-15T00:00:00"/>
  </r>
  <r>
    <n v="2533225"/>
    <m/>
    <x v="2"/>
    <x v="0"/>
    <s v="Phone Service"/>
    <s v="Diego"/>
    <x v="1"/>
    <s v="Corporate Tools"/>
    <s v="note"/>
    <s v="Customer"/>
    <x v="1"/>
    <x v="8"/>
    <m/>
    <m/>
    <d v="2023-01-26T00:00:00"/>
    <x v="0"/>
    <x v="0"/>
    <d v="2023-01-04T00:00:00"/>
    <d v="2023-09-26T00:00:00"/>
  </r>
  <r>
    <n v="2955685"/>
    <m/>
    <x v="0"/>
    <x v="2"/>
    <s v="Phone Service"/>
    <s v="Diego"/>
    <x v="2"/>
    <s v="Corporate Tools"/>
    <s v="note"/>
    <s v="Customer"/>
    <x v="3"/>
    <x v="9"/>
    <m/>
    <m/>
    <d v="2023-01-09T00:00:00"/>
    <x v="0"/>
    <x v="0"/>
    <d v="2023-10-17T00:00:00"/>
    <d v="2023-05-27T00:00:00"/>
  </r>
  <r>
    <n v="2756167"/>
    <m/>
    <x v="2"/>
    <x v="0"/>
    <s v="Phone Service"/>
    <s v="Diego"/>
    <x v="0"/>
    <s v="Corporate Tools"/>
    <s v="note"/>
    <s v="Customer"/>
    <x v="3"/>
    <x v="11"/>
    <m/>
    <m/>
    <d v="2023-01-24T00:00:00"/>
    <x v="0"/>
    <x v="0"/>
    <d v="2023-12-28T00:00:00"/>
    <d v="2023-11-21T00:00:00"/>
  </r>
  <r>
    <n v="2285004"/>
    <m/>
    <x v="0"/>
    <x v="1"/>
    <s v="Phone Service"/>
    <s v="Diego"/>
    <x v="1"/>
    <s v="Corporate Tools"/>
    <s v="note"/>
    <s v="Customer"/>
    <x v="0"/>
    <x v="6"/>
    <m/>
    <m/>
    <d v="2023-06-09T00:00:00"/>
    <x v="6"/>
    <x v="3"/>
    <d v="2023-01-12T00:00:00"/>
    <d v="2023-07-01T00:00:00"/>
  </r>
  <r>
    <n v="2692905"/>
    <m/>
    <x v="1"/>
    <x v="0"/>
    <s v="Phone Service"/>
    <s v="Diego"/>
    <x v="2"/>
    <s v="Corporate Tools"/>
    <s v="note"/>
    <s v="Customer"/>
    <x v="1"/>
    <x v="2"/>
    <m/>
    <m/>
    <d v="2023-06-06T00:00:00"/>
    <x v="6"/>
    <x v="3"/>
    <d v="2023-05-12T00:00:00"/>
    <d v="2023-10-23T00:00:00"/>
  </r>
  <r>
    <n v="2127954"/>
    <m/>
    <x v="1"/>
    <x v="0"/>
    <s v="Phone Service"/>
    <s v="Diego"/>
    <x v="3"/>
    <s v="Corporate Tools"/>
    <s v="note"/>
    <s v="Customer"/>
    <x v="1"/>
    <x v="6"/>
    <m/>
    <m/>
    <d v="2023-06-16T00:00:00"/>
    <x v="6"/>
    <x v="3"/>
    <d v="2023-05-06T00:00:00"/>
    <d v="2023-08-05T00:00:00"/>
  </r>
  <r>
    <n v="2345705"/>
    <m/>
    <x v="2"/>
    <x v="2"/>
    <s v="Phone Service"/>
    <s v="Diego"/>
    <x v="0"/>
    <s v="Corporate Tools"/>
    <s v="note"/>
    <s v="Customer"/>
    <x v="2"/>
    <x v="6"/>
    <m/>
    <m/>
    <d v="2023-05-17T00:00:00"/>
    <x v="4"/>
    <x v="3"/>
    <d v="2023-06-27T00:00:00"/>
    <d v="2023-01-03T00:00:00"/>
  </r>
  <r>
    <n v="2608389"/>
    <m/>
    <x v="1"/>
    <x v="1"/>
    <s v="Phone Service"/>
    <s v="Diego"/>
    <x v="3"/>
    <s v="Corporate Tools"/>
    <s v="note"/>
    <s v="Customer"/>
    <x v="1"/>
    <x v="0"/>
    <m/>
    <m/>
    <d v="2023-12-07T00:00:00"/>
    <x v="10"/>
    <x v="2"/>
    <d v="2023-11-29T00:00:00"/>
    <d v="2023-03-15T00:00:00"/>
  </r>
  <r>
    <n v="2425249"/>
    <m/>
    <x v="2"/>
    <x v="0"/>
    <s v="Phone Service"/>
    <s v="Diego"/>
    <x v="1"/>
    <s v="Corporate Tools"/>
    <s v="note"/>
    <s v="Customer"/>
    <x v="3"/>
    <x v="1"/>
    <m/>
    <m/>
    <d v="2023-07-22T00:00:00"/>
    <x v="2"/>
    <x v="1"/>
    <d v="2023-06-19T00:00:00"/>
    <d v="2023-05-22T00:00:00"/>
  </r>
  <r>
    <n v="2226897"/>
    <m/>
    <x v="2"/>
    <x v="2"/>
    <s v="Phone Service"/>
    <s v="Diego"/>
    <x v="3"/>
    <s v="Corporate Tools"/>
    <s v="note"/>
    <s v="Customer"/>
    <x v="3"/>
    <x v="6"/>
    <m/>
    <m/>
    <d v="2023-04-04T00:00:00"/>
    <x v="5"/>
    <x v="3"/>
    <d v="2023-01-28T00:00:00"/>
    <d v="2023-06-28T00:00:00"/>
  </r>
  <r>
    <n v="2906466"/>
    <m/>
    <x v="1"/>
    <x v="0"/>
    <s v="Phone Service"/>
    <s v="Diego"/>
    <x v="0"/>
    <s v="Corporate Tools"/>
    <s v="note"/>
    <s v="Customer"/>
    <x v="0"/>
    <x v="9"/>
    <m/>
    <m/>
    <d v="2023-02-18T00:00:00"/>
    <x v="11"/>
    <x v="0"/>
    <d v="2023-06-24T00:00:00"/>
    <d v="2023-12-09T00:00:00"/>
  </r>
  <r>
    <n v="2128320"/>
    <m/>
    <x v="1"/>
    <x v="2"/>
    <s v="Phone Service"/>
    <s v="Diego"/>
    <x v="3"/>
    <s v="Corporate Tools"/>
    <s v="note"/>
    <s v="Customer"/>
    <x v="1"/>
    <x v="7"/>
    <m/>
    <m/>
    <d v="2023-06-12T00:00:00"/>
    <x v="6"/>
    <x v="3"/>
    <d v="2023-10-24T00:00:00"/>
    <d v="2023-01-24T00:00:00"/>
  </r>
  <r>
    <n v="2861184"/>
    <m/>
    <x v="1"/>
    <x v="0"/>
    <s v="Phone Service"/>
    <s v="Diego"/>
    <x v="0"/>
    <s v="Corporate Tools"/>
    <s v="note"/>
    <s v="Customer"/>
    <x v="0"/>
    <x v="3"/>
    <m/>
    <m/>
    <d v="2023-07-14T00:00:00"/>
    <x v="2"/>
    <x v="1"/>
    <d v="2023-01-01T00:00:00"/>
    <d v="2023-11-05T00:00:00"/>
  </r>
  <r>
    <n v="2337665"/>
    <m/>
    <x v="1"/>
    <x v="1"/>
    <s v="Phone Service"/>
    <s v="Diego"/>
    <x v="1"/>
    <s v="Corporate Tools"/>
    <s v="note"/>
    <s v="Customer"/>
    <x v="0"/>
    <x v="0"/>
    <m/>
    <m/>
    <d v="2023-10-23T00:00:00"/>
    <x v="3"/>
    <x v="2"/>
    <d v="2023-09-09T00:00:00"/>
    <d v="2023-01-22T00:00:00"/>
  </r>
  <r>
    <n v="2020342"/>
    <m/>
    <x v="1"/>
    <x v="1"/>
    <s v="Phone Service"/>
    <s v="Diego"/>
    <x v="3"/>
    <s v="Corporate Tools"/>
    <s v="note"/>
    <s v="Customer"/>
    <x v="0"/>
    <x v="12"/>
    <m/>
    <m/>
    <d v="2023-01-24T00:00:00"/>
    <x v="0"/>
    <x v="0"/>
    <d v="2023-03-17T00:00:00"/>
    <d v="2023-08-07T00:00:00"/>
  </r>
  <r>
    <n v="2181510"/>
    <m/>
    <x v="1"/>
    <x v="1"/>
    <s v="Phone Service"/>
    <s v="Diego"/>
    <x v="0"/>
    <s v="Corporate Tools"/>
    <s v="note"/>
    <s v="Customer"/>
    <x v="3"/>
    <x v="12"/>
    <m/>
    <m/>
    <d v="2023-05-28T00:00:00"/>
    <x v="4"/>
    <x v="3"/>
    <d v="2023-12-18T00:00:00"/>
    <d v="2023-10-27T00:00:00"/>
  </r>
  <r>
    <n v="2952300"/>
    <m/>
    <x v="2"/>
    <x v="1"/>
    <s v="Phone Service"/>
    <s v="Diego"/>
    <x v="3"/>
    <s v="Corporate Tools"/>
    <s v="note"/>
    <s v="Customer"/>
    <x v="3"/>
    <x v="5"/>
    <m/>
    <m/>
    <d v="2023-04-05T00:00:00"/>
    <x v="5"/>
    <x v="3"/>
    <d v="2023-07-31T00:00:00"/>
    <d v="2023-03-27T00:00:00"/>
  </r>
  <r>
    <n v="2479870"/>
    <m/>
    <x v="0"/>
    <x v="1"/>
    <s v="Phone Service"/>
    <s v="Diego"/>
    <x v="0"/>
    <s v="Corporate Tools"/>
    <s v="note"/>
    <s v="Customer"/>
    <x v="1"/>
    <x v="0"/>
    <m/>
    <m/>
    <d v="2023-10-20T00:00:00"/>
    <x v="3"/>
    <x v="2"/>
    <d v="2023-06-24T00:00:00"/>
    <d v="2023-09-12T00:00:00"/>
  </r>
  <r>
    <n v="2327117"/>
    <m/>
    <x v="1"/>
    <x v="0"/>
    <s v="Phone Service"/>
    <s v="Diego"/>
    <x v="1"/>
    <s v="Corporate Tools"/>
    <s v="note"/>
    <s v="Customer"/>
    <x v="2"/>
    <x v="3"/>
    <m/>
    <m/>
    <d v="2023-01-17T00:00:00"/>
    <x v="0"/>
    <x v="0"/>
    <d v="2023-08-21T00:00:00"/>
    <d v="2023-09-25T00:00:00"/>
  </r>
  <r>
    <n v="2359192"/>
    <m/>
    <x v="2"/>
    <x v="2"/>
    <s v="Phone Service"/>
    <s v="Diego"/>
    <x v="3"/>
    <s v="Corporate Tools"/>
    <s v="note"/>
    <s v="Customer"/>
    <x v="2"/>
    <x v="13"/>
    <m/>
    <m/>
    <d v="2023-05-24T00:00:00"/>
    <x v="4"/>
    <x v="3"/>
    <d v="2023-05-06T00:00:00"/>
    <d v="2023-11-12T00:00:00"/>
  </r>
  <r>
    <n v="2508952"/>
    <m/>
    <x v="1"/>
    <x v="0"/>
    <s v="Phone Service"/>
    <s v="Diego"/>
    <x v="3"/>
    <s v="Corporate Tools"/>
    <s v="note"/>
    <s v="Customer"/>
    <x v="1"/>
    <x v="5"/>
    <m/>
    <m/>
    <d v="2023-01-28T00:00:00"/>
    <x v="0"/>
    <x v="0"/>
    <d v="2023-11-27T00:00:00"/>
    <d v="2023-04-17T00:00:00"/>
  </r>
  <r>
    <n v="2787728"/>
    <m/>
    <x v="2"/>
    <x v="1"/>
    <s v="Phone Service"/>
    <s v="Diego"/>
    <x v="0"/>
    <s v="Corporate Tools"/>
    <s v="note"/>
    <s v="Customer"/>
    <x v="0"/>
    <x v="13"/>
    <m/>
    <m/>
    <d v="2023-09-28T00:00:00"/>
    <x v="1"/>
    <x v="1"/>
    <d v="2023-07-14T00:00:00"/>
    <d v="2023-01-25T00:00:00"/>
  </r>
  <r>
    <n v="2291425"/>
    <m/>
    <x v="2"/>
    <x v="2"/>
    <s v="Phone Service"/>
    <s v="Diego"/>
    <x v="2"/>
    <s v="Corporate Tools"/>
    <s v="note"/>
    <s v="Customer"/>
    <x v="3"/>
    <x v="3"/>
    <m/>
    <m/>
    <d v="2023-04-09T00:00:00"/>
    <x v="5"/>
    <x v="3"/>
    <d v="2023-01-29T00:00:00"/>
    <d v="2023-05-30T00:00:00"/>
  </r>
  <r>
    <n v="2484384"/>
    <m/>
    <x v="2"/>
    <x v="0"/>
    <s v="Phone Service"/>
    <s v="Diego"/>
    <x v="2"/>
    <s v="Corporate Tools"/>
    <s v="note"/>
    <s v="Customer"/>
    <x v="2"/>
    <x v="6"/>
    <m/>
    <m/>
    <d v="2023-11-26T00:00:00"/>
    <x v="9"/>
    <x v="2"/>
    <d v="2023-02-02T00:00:00"/>
    <d v="2023-12-15T00:00:00"/>
  </r>
  <r>
    <n v="2691377"/>
    <m/>
    <x v="2"/>
    <x v="0"/>
    <s v="Phone Service"/>
    <s v="Diego"/>
    <x v="0"/>
    <s v="Corporate Tools"/>
    <s v="note"/>
    <s v="Customer"/>
    <x v="1"/>
    <x v="15"/>
    <m/>
    <m/>
    <d v="2023-04-17T00:00:00"/>
    <x v="5"/>
    <x v="3"/>
    <d v="2023-07-20T00:00:00"/>
    <d v="2023-07-01T00:00:00"/>
  </r>
  <r>
    <n v="2181006"/>
    <m/>
    <x v="1"/>
    <x v="1"/>
    <s v="Phone Service"/>
    <s v="Diego"/>
    <x v="1"/>
    <s v="Corporate Tools"/>
    <s v="note"/>
    <s v="Customer"/>
    <x v="2"/>
    <x v="13"/>
    <m/>
    <m/>
    <d v="2023-04-27T00:00:00"/>
    <x v="5"/>
    <x v="3"/>
    <d v="2023-09-07T00:00:00"/>
    <d v="2023-07-16T00:00:00"/>
  </r>
  <r>
    <n v="2944695"/>
    <m/>
    <x v="1"/>
    <x v="1"/>
    <s v="Phone Service"/>
    <s v="Diego"/>
    <x v="3"/>
    <s v="Corporate Tools"/>
    <s v="note"/>
    <s v="Customer"/>
    <x v="2"/>
    <x v="4"/>
    <m/>
    <m/>
    <d v="2023-08-01T00:00:00"/>
    <x v="8"/>
    <x v="1"/>
    <d v="2023-03-01T00:00:00"/>
    <d v="2023-12-29T00:00:00"/>
  </r>
  <r>
    <n v="2192761"/>
    <m/>
    <x v="2"/>
    <x v="0"/>
    <s v="Phone Service"/>
    <s v="Diego"/>
    <x v="2"/>
    <s v="Corporate Tools"/>
    <s v="note"/>
    <s v="Customer"/>
    <x v="3"/>
    <x v="15"/>
    <m/>
    <m/>
    <d v="2023-12-19T00:00:00"/>
    <x v="10"/>
    <x v="2"/>
    <d v="2023-11-24T00:00:00"/>
    <d v="2024-01-03T00:00:00"/>
  </r>
  <r>
    <n v="2190986"/>
    <m/>
    <x v="2"/>
    <x v="0"/>
    <s v="Phone Service"/>
    <s v="Diego"/>
    <x v="2"/>
    <s v="Corporate Tools"/>
    <s v="note"/>
    <s v="Customer"/>
    <x v="0"/>
    <x v="10"/>
    <m/>
    <m/>
    <d v="2023-11-30T00:00:00"/>
    <x v="9"/>
    <x v="2"/>
    <d v="2023-06-02T00:00:00"/>
    <d v="2023-12-16T00:00:00"/>
  </r>
  <r>
    <n v="2903865"/>
    <m/>
    <x v="0"/>
    <x v="1"/>
    <s v="Phone Service"/>
    <s v="Diego"/>
    <x v="3"/>
    <s v="Corporate Tools"/>
    <s v="note"/>
    <s v="Customer"/>
    <x v="1"/>
    <x v="5"/>
    <m/>
    <m/>
    <d v="2023-07-06T00:00:00"/>
    <x v="2"/>
    <x v="1"/>
    <d v="2023-12-19T00:00:00"/>
    <d v="2023-07-14T00:00:00"/>
  </r>
  <r>
    <n v="2537465"/>
    <m/>
    <x v="2"/>
    <x v="0"/>
    <s v="Phone Service"/>
    <s v="Diego"/>
    <x v="1"/>
    <s v="Corporate Tools"/>
    <s v="note"/>
    <s v="Customer"/>
    <x v="3"/>
    <x v="10"/>
    <m/>
    <m/>
    <d v="2023-03-29T00:00:00"/>
    <x v="7"/>
    <x v="0"/>
    <d v="2023-02-05T00:00:00"/>
    <d v="2023-01-29T00:00:00"/>
  </r>
  <r>
    <n v="2540061"/>
    <m/>
    <x v="2"/>
    <x v="2"/>
    <s v="Phone Service"/>
    <s v="Diego"/>
    <x v="1"/>
    <s v="Corporate Tools"/>
    <s v="note"/>
    <s v="Customer"/>
    <x v="2"/>
    <x v="9"/>
    <m/>
    <m/>
    <d v="2023-06-04T00:00:00"/>
    <x v="6"/>
    <x v="3"/>
    <d v="2023-06-17T00:00:00"/>
    <d v="2023-09-22T00:00:00"/>
  </r>
  <r>
    <n v="2280916"/>
    <m/>
    <x v="0"/>
    <x v="1"/>
    <s v="Phone Service"/>
    <s v="Diego"/>
    <x v="0"/>
    <s v="Corporate Tools"/>
    <s v="note"/>
    <s v="Customer"/>
    <x v="2"/>
    <x v="7"/>
    <m/>
    <m/>
    <d v="2023-12-23T00:00:00"/>
    <x v="10"/>
    <x v="2"/>
    <d v="2023-07-15T00:00:00"/>
    <d v="2023-01-13T00:00:00"/>
  </r>
  <r>
    <n v="2171478"/>
    <m/>
    <x v="0"/>
    <x v="2"/>
    <s v="Phone Service"/>
    <s v="Diego"/>
    <x v="3"/>
    <s v="Corporate Tools"/>
    <s v="note"/>
    <s v="Customer"/>
    <x v="1"/>
    <x v="11"/>
    <m/>
    <m/>
    <d v="2023-01-05T00:00:00"/>
    <x v="0"/>
    <x v="0"/>
    <d v="2023-12-11T00:00:00"/>
    <d v="2023-05-30T00:00:00"/>
  </r>
  <r>
    <n v="2990610"/>
    <m/>
    <x v="2"/>
    <x v="0"/>
    <s v="Phone Service"/>
    <s v="Diego"/>
    <x v="1"/>
    <s v="Corporate Tools"/>
    <s v="note"/>
    <s v="Customer"/>
    <x v="1"/>
    <x v="10"/>
    <m/>
    <m/>
    <d v="2023-04-27T00:00:00"/>
    <x v="5"/>
    <x v="3"/>
    <d v="2023-02-12T00:00:00"/>
    <d v="2023-06-27T00:00:00"/>
  </r>
  <r>
    <n v="2969849"/>
    <m/>
    <x v="0"/>
    <x v="2"/>
    <s v="Phone Service"/>
    <s v="Diego"/>
    <x v="3"/>
    <s v="Corporate Tools"/>
    <s v="note"/>
    <s v="Customer"/>
    <x v="0"/>
    <x v="14"/>
    <m/>
    <m/>
    <d v="2023-10-03T00:00:00"/>
    <x v="3"/>
    <x v="2"/>
    <d v="2023-01-25T00:00:00"/>
    <d v="2023-09-06T00:00:00"/>
  </r>
  <r>
    <n v="2177500"/>
    <m/>
    <x v="1"/>
    <x v="0"/>
    <s v="Phone Service"/>
    <s v="Diego"/>
    <x v="0"/>
    <s v="Corporate Tools"/>
    <s v="note"/>
    <s v="Customer"/>
    <x v="1"/>
    <x v="1"/>
    <m/>
    <m/>
    <d v="2023-09-17T00:00:00"/>
    <x v="1"/>
    <x v="1"/>
    <d v="2023-03-12T00:00:00"/>
    <d v="2023-05-13T00:00:00"/>
  </r>
  <r>
    <n v="2953545"/>
    <m/>
    <x v="1"/>
    <x v="0"/>
    <s v="Phone Service"/>
    <s v="Diego"/>
    <x v="1"/>
    <s v="Corporate Tools"/>
    <s v="note"/>
    <s v="Customer"/>
    <x v="3"/>
    <x v="11"/>
    <m/>
    <m/>
    <d v="2023-06-05T00:00:00"/>
    <x v="6"/>
    <x v="3"/>
    <d v="2023-03-04T00:00:00"/>
    <d v="2023-05-04T00:00:00"/>
  </r>
  <r>
    <n v="2832074"/>
    <m/>
    <x v="1"/>
    <x v="0"/>
    <s v="Phone Service"/>
    <s v="Diego"/>
    <x v="1"/>
    <s v="Corporate Tools"/>
    <s v="note"/>
    <s v="Customer"/>
    <x v="3"/>
    <x v="7"/>
    <m/>
    <m/>
    <d v="2023-04-09T00:00:00"/>
    <x v="5"/>
    <x v="3"/>
    <d v="2023-08-29T00:00:00"/>
    <d v="2023-12-10T00:00:00"/>
  </r>
  <r>
    <n v="2689884"/>
    <m/>
    <x v="1"/>
    <x v="0"/>
    <s v="Phone Service"/>
    <s v="Diego"/>
    <x v="2"/>
    <s v="Corporate Tools"/>
    <s v="note"/>
    <s v="Customer"/>
    <x v="2"/>
    <x v="5"/>
    <m/>
    <m/>
    <d v="2023-02-14T00:00:00"/>
    <x v="11"/>
    <x v="0"/>
    <d v="2023-09-16T00:00:00"/>
    <d v="2023-02-05T00:00:00"/>
  </r>
  <r>
    <n v="2210948"/>
    <m/>
    <x v="1"/>
    <x v="0"/>
    <s v="Phone Service"/>
    <s v="Diego"/>
    <x v="1"/>
    <s v="Corporate Tools"/>
    <s v="note"/>
    <s v="Customer"/>
    <x v="0"/>
    <x v="1"/>
    <m/>
    <m/>
    <d v="2023-05-22T00:00:00"/>
    <x v="4"/>
    <x v="3"/>
    <d v="2023-10-30T00:00:00"/>
    <d v="2023-08-05T00:00:00"/>
  </r>
  <r>
    <n v="2900613"/>
    <m/>
    <x v="2"/>
    <x v="1"/>
    <s v="Phone Service"/>
    <s v="Diego"/>
    <x v="0"/>
    <s v="Corporate Tools"/>
    <s v="note"/>
    <s v="Customer"/>
    <x v="3"/>
    <x v="2"/>
    <m/>
    <m/>
    <d v="2024-01-03T00:00:00"/>
    <x v="0"/>
    <x v="0"/>
    <d v="2023-02-16T00:00:00"/>
    <d v="2023-05-04T00:00:00"/>
  </r>
  <r>
    <n v="2294704"/>
    <m/>
    <x v="0"/>
    <x v="2"/>
    <s v="Phone Service"/>
    <s v="Diego"/>
    <x v="3"/>
    <s v="Corporate Tools"/>
    <s v="note"/>
    <s v="Customer"/>
    <x v="3"/>
    <x v="11"/>
    <m/>
    <m/>
    <d v="2023-05-27T00:00:00"/>
    <x v="4"/>
    <x v="3"/>
    <d v="2023-01-25T00:00:00"/>
    <d v="2023-12-11T00:00:00"/>
  </r>
  <r>
    <n v="2973523"/>
    <m/>
    <x v="2"/>
    <x v="2"/>
    <s v="Phone Service"/>
    <s v="Diego"/>
    <x v="3"/>
    <s v="Corporate Tools"/>
    <s v="note"/>
    <s v="Customer"/>
    <x v="2"/>
    <x v="7"/>
    <m/>
    <m/>
    <d v="2023-12-05T00:00:00"/>
    <x v="10"/>
    <x v="2"/>
    <d v="2023-03-31T00:00:00"/>
    <d v="2023-03-01T00:00:00"/>
  </r>
  <r>
    <n v="2893225"/>
    <m/>
    <x v="0"/>
    <x v="1"/>
    <s v="Phone Service"/>
    <s v="Diego"/>
    <x v="3"/>
    <s v="Corporate Tools"/>
    <s v="note"/>
    <s v="Customer"/>
    <x v="3"/>
    <x v="11"/>
    <m/>
    <m/>
    <d v="2024-01-07T00:00:00"/>
    <x v="0"/>
    <x v="0"/>
    <d v="2023-04-26T00:00:00"/>
    <d v="2023-05-30T00:00:00"/>
  </r>
  <r>
    <n v="2992315"/>
    <m/>
    <x v="0"/>
    <x v="0"/>
    <s v="Phone Service"/>
    <s v="Diego"/>
    <x v="1"/>
    <s v="Corporate Tools"/>
    <s v="note"/>
    <s v="Customer"/>
    <x v="2"/>
    <x v="3"/>
    <m/>
    <m/>
    <d v="2023-02-09T00:00:00"/>
    <x v="11"/>
    <x v="0"/>
    <d v="2023-02-02T00:00:00"/>
    <d v="2023-12-08T00:00:00"/>
  </r>
  <r>
    <n v="2692378"/>
    <m/>
    <x v="2"/>
    <x v="0"/>
    <s v="Phone Service"/>
    <s v="Diego"/>
    <x v="3"/>
    <s v="Corporate Tools"/>
    <s v="note"/>
    <s v="Customer"/>
    <x v="0"/>
    <x v="7"/>
    <m/>
    <m/>
    <d v="2023-05-11T00:00:00"/>
    <x v="4"/>
    <x v="3"/>
    <d v="2023-07-11T00:00:00"/>
    <d v="2023-09-25T00:00:00"/>
  </r>
  <r>
    <n v="2761615"/>
    <m/>
    <x v="1"/>
    <x v="0"/>
    <s v="Phone Service"/>
    <s v="Diego"/>
    <x v="1"/>
    <s v="Corporate Tools"/>
    <s v="note"/>
    <s v="Customer"/>
    <x v="2"/>
    <x v="15"/>
    <m/>
    <m/>
    <d v="2023-03-21T00:00:00"/>
    <x v="7"/>
    <x v="0"/>
    <d v="2023-09-14T00:00:00"/>
    <d v="2023-02-02T00:00:00"/>
  </r>
  <r>
    <n v="2122491"/>
    <m/>
    <x v="2"/>
    <x v="2"/>
    <s v="Phone Service"/>
    <s v="Diego"/>
    <x v="2"/>
    <s v="Corporate Tools"/>
    <s v="note"/>
    <s v="Customer"/>
    <x v="1"/>
    <x v="2"/>
    <m/>
    <m/>
    <d v="2023-01-29T00:00:00"/>
    <x v="0"/>
    <x v="0"/>
    <d v="2023-03-19T00:00:00"/>
    <d v="2023-10-10T00:00:00"/>
  </r>
  <r>
    <n v="2949555"/>
    <m/>
    <x v="1"/>
    <x v="1"/>
    <s v="Phone Service"/>
    <s v="Diego"/>
    <x v="0"/>
    <s v="Corporate Tools"/>
    <s v="note"/>
    <s v="Customer"/>
    <x v="2"/>
    <x v="14"/>
    <m/>
    <m/>
    <d v="2023-02-02T00:00:00"/>
    <x v="11"/>
    <x v="0"/>
    <d v="2023-07-27T00:00:00"/>
    <d v="2023-07-21T00:00:00"/>
  </r>
  <r>
    <n v="2715769"/>
    <m/>
    <x v="2"/>
    <x v="2"/>
    <s v="Phone Service"/>
    <s v="Diego"/>
    <x v="0"/>
    <s v="Corporate Tools"/>
    <s v="note"/>
    <s v="Customer"/>
    <x v="0"/>
    <x v="8"/>
    <m/>
    <m/>
    <d v="2023-11-01T00:00:00"/>
    <x v="9"/>
    <x v="2"/>
    <d v="2023-10-16T00:00:00"/>
    <d v="2023-08-08T00:00:00"/>
  </r>
  <r>
    <n v="2714440"/>
    <m/>
    <x v="0"/>
    <x v="2"/>
    <s v="Phone Service"/>
    <s v="Diego"/>
    <x v="0"/>
    <s v="Corporate Tools"/>
    <s v="note"/>
    <s v="Customer"/>
    <x v="2"/>
    <x v="11"/>
    <m/>
    <m/>
    <d v="2023-12-08T00:00:00"/>
    <x v="10"/>
    <x v="2"/>
    <d v="2023-03-03T00:00:00"/>
    <d v="2023-03-19T00:00:00"/>
  </r>
  <r>
    <n v="2937220"/>
    <m/>
    <x v="2"/>
    <x v="0"/>
    <s v="Phone Service"/>
    <s v="Diego"/>
    <x v="2"/>
    <s v="Corporate Tools"/>
    <s v="note"/>
    <s v="Customer"/>
    <x v="0"/>
    <x v="3"/>
    <m/>
    <m/>
    <d v="2023-07-21T00:00:00"/>
    <x v="2"/>
    <x v="1"/>
    <d v="2023-03-03T00:00:00"/>
    <d v="2023-07-12T00:00:00"/>
  </r>
  <r>
    <n v="2596251"/>
    <m/>
    <x v="0"/>
    <x v="0"/>
    <s v="Phone Service"/>
    <s v="Diego"/>
    <x v="0"/>
    <s v="Corporate Tools"/>
    <s v="note"/>
    <s v="Customer"/>
    <x v="0"/>
    <x v="9"/>
    <m/>
    <m/>
    <d v="2023-01-19T00:00:00"/>
    <x v="0"/>
    <x v="0"/>
    <d v="2023-09-29T00:00:00"/>
    <d v="2023-07-01T00:00:00"/>
  </r>
  <r>
    <n v="2889047"/>
    <m/>
    <x v="2"/>
    <x v="2"/>
    <s v="Phone Service"/>
    <s v="Diego"/>
    <x v="1"/>
    <s v="Corporate Tools"/>
    <s v="note"/>
    <s v="Customer"/>
    <x v="1"/>
    <x v="6"/>
    <m/>
    <m/>
    <d v="2023-02-08T00:00:00"/>
    <x v="11"/>
    <x v="0"/>
    <d v="2023-08-20T00:00:00"/>
    <d v="2023-09-05T00:00:00"/>
  </r>
  <r>
    <n v="2829567"/>
    <m/>
    <x v="0"/>
    <x v="1"/>
    <s v="Phone Service"/>
    <s v="Diego"/>
    <x v="0"/>
    <s v="Corporate Tools"/>
    <s v="note"/>
    <s v="Customer"/>
    <x v="2"/>
    <x v="13"/>
    <m/>
    <m/>
    <d v="2023-03-21T00:00:00"/>
    <x v="7"/>
    <x v="0"/>
    <d v="2023-11-07T00:00:00"/>
    <d v="2024-01-04T00:00:00"/>
  </r>
  <r>
    <n v="2879831"/>
    <m/>
    <x v="2"/>
    <x v="0"/>
    <s v="Phone Service"/>
    <s v="Diego"/>
    <x v="0"/>
    <s v="Corporate Tools"/>
    <s v="note"/>
    <s v="Customer"/>
    <x v="1"/>
    <x v="15"/>
    <m/>
    <m/>
    <d v="2023-03-05T00:00:00"/>
    <x v="7"/>
    <x v="0"/>
    <d v="2023-02-18T00:00:00"/>
    <d v="2023-03-20T00:00:00"/>
  </r>
  <r>
    <n v="2801371"/>
    <m/>
    <x v="2"/>
    <x v="1"/>
    <s v="Phone Service"/>
    <s v="Diego"/>
    <x v="3"/>
    <s v="Corporate Tools"/>
    <s v="note"/>
    <s v="Customer"/>
    <x v="1"/>
    <x v="13"/>
    <m/>
    <m/>
    <d v="2023-02-11T00:00:00"/>
    <x v="11"/>
    <x v="0"/>
    <d v="2023-01-27T00:00:00"/>
    <d v="2023-11-19T00:00:00"/>
  </r>
  <r>
    <n v="2824103"/>
    <m/>
    <x v="2"/>
    <x v="0"/>
    <s v="Phone Service"/>
    <s v="Diego"/>
    <x v="3"/>
    <s v="Corporate Tools"/>
    <s v="note"/>
    <s v="Customer"/>
    <x v="1"/>
    <x v="12"/>
    <m/>
    <m/>
    <d v="2023-02-28T00:00:00"/>
    <x v="11"/>
    <x v="0"/>
    <d v="2023-11-24T00:00:00"/>
    <d v="2024-01-07T00:00:00"/>
  </r>
  <r>
    <n v="2604094"/>
    <m/>
    <x v="2"/>
    <x v="0"/>
    <s v="Phone Service"/>
    <s v="Diego"/>
    <x v="2"/>
    <s v="Corporate Tools"/>
    <s v="note"/>
    <s v="Customer"/>
    <x v="3"/>
    <x v="11"/>
    <m/>
    <m/>
    <d v="2023-04-05T00:00:00"/>
    <x v="5"/>
    <x v="3"/>
    <d v="2023-06-24T00:00:00"/>
    <d v="2023-03-15T00:00:00"/>
  </r>
  <r>
    <n v="2376465"/>
    <m/>
    <x v="0"/>
    <x v="0"/>
    <s v="Phone Service"/>
    <s v="Diego"/>
    <x v="3"/>
    <s v="Corporate Tools"/>
    <s v="note"/>
    <s v="Customer"/>
    <x v="2"/>
    <x v="0"/>
    <m/>
    <m/>
    <d v="2023-09-30T00:00:00"/>
    <x v="1"/>
    <x v="1"/>
    <d v="2023-03-20T00:00:00"/>
    <d v="2023-09-04T00:00:00"/>
  </r>
  <r>
    <n v="2992263"/>
    <m/>
    <x v="1"/>
    <x v="0"/>
    <s v="Phone Service"/>
    <s v="Diego"/>
    <x v="3"/>
    <s v="Corporate Tools"/>
    <s v="note"/>
    <s v="Customer"/>
    <x v="2"/>
    <x v="6"/>
    <m/>
    <m/>
    <d v="2023-06-12T00:00:00"/>
    <x v="6"/>
    <x v="3"/>
    <d v="2023-03-10T00:00:00"/>
    <d v="2023-05-02T00:00:00"/>
  </r>
  <r>
    <n v="2745615"/>
    <m/>
    <x v="2"/>
    <x v="0"/>
    <s v="Phone Service"/>
    <s v="Diego"/>
    <x v="0"/>
    <s v="Corporate Tools"/>
    <s v="note"/>
    <s v="Customer"/>
    <x v="0"/>
    <x v="13"/>
    <m/>
    <m/>
    <d v="2023-01-21T00:00:00"/>
    <x v="0"/>
    <x v="0"/>
    <d v="2023-12-11T00:00:00"/>
    <d v="2023-06-14T00:00:00"/>
  </r>
  <r>
    <n v="2973958"/>
    <m/>
    <x v="1"/>
    <x v="2"/>
    <s v="Phone Service"/>
    <s v="Diego"/>
    <x v="3"/>
    <s v="Corporate Tools"/>
    <s v="note"/>
    <s v="Customer"/>
    <x v="1"/>
    <x v="13"/>
    <m/>
    <m/>
    <d v="2023-09-13T00:00:00"/>
    <x v="1"/>
    <x v="1"/>
    <d v="2023-11-09T00:00:00"/>
    <d v="2023-10-19T00:00:00"/>
  </r>
  <r>
    <n v="2149995"/>
    <m/>
    <x v="2"/>
    <x v="0"/>
    <s v="Phone Service"/>
    <s v="Diego"/>
    <x v="2"/>
    <s v="Corporate Tools"/>
    <s v="note"/>
    <s v="Customer"/>
    <x v="1"/>
    <x v="10"/>
    <m/>
    <m/>
    <d v="2023-08-31T00:00:00"/>
    <x v="8"/>
    <x v="1"/>
    <d v="2023-03-30T00:00:00"/>
    <d v="2023-03-21T00:00:00"/>
  </r>
  <r>
    <n v="2642916"/>
    <m/>
    <x v="1"/>
    <x v="1"/>
    <s v="Phone Service"/>
    <s v="Diego"/>
    <x v="1"/>
    <s v="Corporate Tools"/>
    <s v="note"/>
    <s v="Customer"/>
    <x v="0"/>
    <x v="15"/>
    <m/>
    <m/>
    <d v="2023-07-12T00:00:00"/>
    <x v="2"/>
    <x v="1"/>
    <d v="2023-12-18T00:00:00"/>
    <d v="2023-11-02T00:00:00"/>
  </r>
  <r>
    <n v="2190463"/>
    <m/>
    <x v="1"/>
    <x v="2"/>
    <s v="Phone Service"/>
    <s v="Diego"/>
    <x v="1"/>
    <s v="Corporate Tools"/>
    <s v="note"/>
    <s v="Customer"/>
    <x v="1"/>
    <x v="13"/>
    <m/>
    <m/>
    <d v="2023-03-28T00:00:00"/>
    <x v="7"/>
    <x v="0"/>
    <d v="2023-08-23T00:00:00"/>
    <d v="2023-04-08T00:00:00"/>
  </r>
  <r>
    <n v="2064048"/>
    <m/>
    <x v="2"/>
    <x v="2"/>
    <s v="Phone Service"/>
    <s v="Diego"/>
    <x v="0"/>
    <s v="Corporate Tools"/>
    <s v="note"/>
    <s v="Customer"/>
    <x v="3"/>
    <x v="14"/>
    <m/>
    <m/>
    <d v="2023-06-03T00:00:00"/>
    <x v="6"/>
    <x v="3"/>
    <d v="2023-07-02T00:00:00"/>
    <d v="2023-11-29T00:00:00"/>
  </r>
  <r>
    <n v="2187730"/>
    <m/>
    <x v="0"/>
    <x v="2"/>
    <s v="Phone Service"/>
    <s v="Diego"/>
    <x v="2"/>
    <s v="Corporate Tools"/>
    <s v="note"/>
    <s v="Customer"/>
    <x v="3"/>
    <x v="14"/>
    <m/>
    <m/>
    <d v="2023-02-02T00:00:00"/>
    <x v="11"/>
    <x v="0"/>
    <d v="2023-08-12T00:00:00"/>
    <d v="2023-11-20T00:00:00"/>
  </r>
  <r>
    <n v="2447428"/>
    <m/>
    <x v="0"/>
    <x v="1"/>
    <s v="Phone Service"/>
    <s v="Diego"/>
    <x v="2"/>
    <s v="Corporate Tools"/>
    <s v="note"/>
    <s v="Customer"/>
    <x v="1"/>
    <x v="12"/>
    <m/>
    <m/>
    <d v="2023-07-12T00:00:00"/>
    <x v="2"/>
    <x v="1"/>
    <d v="2023-04-15T00:00:00"/>
    <d v="2023-01-22T00:00:00"/>
  </r>
  <r>
    <n v="2424215"/>
    <m/>
    <x v="1"/>
    <x v="2"/>
    <s v="Phone Service"/>
    <s v="Diego"/>
    <x v="0"/>
    <s v="Corporate Tools"/>
    <s v="note"/>
    <s v="Customer"/>
    <x v="2"/>
    <x v="9"/>
    <m/>
    <m/>
    <d v="2023-10-31T00:00:00"/>
    <x v="3"/>
    <x v="2"/>
    <d v="2023-09-11T00:00:00"/>
    <d v="2023-11-22T00:00:00"/>
  </r>
  <r>
    <n v="2559869"/>
    <m/>
    <x v="0"/>
    <x v="2"/>
    <s v="Phone Service"/>
    <s v="Diego"/>
    <x v="3"/>
    <s v="Corporate Tools"/>
    <s v="note"/>
    <s v="Customer"/>
    <x v="1"/>
    <x v="13"/>
    <m/>
    <m/>
    <d v="2023-01-16T00:00:00"/>
    <x v="0"/>
    <x v="0"/>
    <d v="2023-05-29T00:00:00"/>
    <d v="2023-09-01T00:00:00"/>
  </r>
  <r>
    <n v="2034293"/>
    <m/>
    <x v="0"/>
    <x v="2"/>
    <s v="Phone Service"/>
    <s v="Diego"/>
    <x v="3"/>
    <s v="Corporate Tools"/>
    <s v="note"/>
    <s v="Customer"/>
    <x v="1"/>
    <x v="8"/>
    <m/>
    <m/>
    <d v="2023-08-11T00:00:00"/>
    <x v="8"/>
    <x v="1"/>
    <d v="2023-06-20T00:00:00"/>
    <d v="2023-01-22T00:00:00"/>
  </r>
  <r>
    <n v="2511836"/>
    <m/>
    <x v="2"/>
    <x v="2"/>
    <s v="Phone Service"/>
    <s v="Diego"/>
    <x v="0"/>
    <s v="Corporate Tools"/>
    <s v="note"/>
    <s v="Customer"/>
    <x v="0"/>
    <x v="7"/>
    <m/>
    <m/>
    <d v="2023-03-19T00:00:00"/>
    <x v="7"/>
    <x v="0"/>
    <d v="2023-06-10T00:00:00"/>
    <d v="2023-08-22T00:00:00"/>
  </r>
  <r>
    <n v="2359722"/>
    <m/>
    <x v="1"/>
    <x v="2"/>
    <s v="Phone Service"/>
    <s v="Diego"/>
    <x v="3"/>
    <s v="Corporate Tools"/>
    <s v="note"/>
    <s v="Customer"/>
    <x v="3"/>
    <x v="2"/>
    <m/>
    <m/>
    <d v="2023-12-29T00:00:00"/>
    <x v="10"/>
    <x v="2"/>
    <d v="2023-12-29T00:00:00"/>
    <d v="2023-08-11T00:00:00"/>
  </r>
  <r>
    <n v="2549970"/>
    <m/>
    <x v="0"/>
    <x v="0"/>
    <s v="Phone Service"/>
    <s v="Diego"/>
    <x v="3"/>
    <s v="Corporate Tools"/>
    <s v="note"/>
    <s v="Customer"/>
    <x v="3"/>
    <x v="7"/>
    <m/>
    <m/>
    <d v="2023-01-27T00:00:00"/>
    <x v="0"/>
    <x v="0"/>
    <d v="2023-06-26T00:00:00"/>
    <d v="2023-12-10T00:00:00"/>
  </r>
  <r>
    <n v="2949799"/>
    <m/>
    <x v="2"/>
    <x v="1"/>
    <s v="Phone Service"/>
    <s v="Diego"/>
    <x v="3"/>
    <s v="Corporate Tools"/>
    <s v="note"/>
    <s v="Customer"/>
    <x v="0"/>
    <x v="14"/>
    <m/>
    <m/>
    <d v="2023-03-12T00:00:00"/>
    <x v="7"/>
    <x v="0"/>
    <d v="2023-06-15T00:00:00"/>
    <d v="2023-02-06T00:00:00"/>
  </r>
  <r>
    <n v="2172522"/>
    <m/>
    <x v="0"/>
    <x v="1"/>
    <s v="Phone Service"/>
    <s v="Diego"/>
    <x v="0"/>
    <s v="Corporate Tools"/>
    <s v="note"/>
    <s v="Customer"/>
    <x v="2"/>
    <x v="10"/>
    <m/>
    <m/>
    <d v="2023-06-08T00:00:00"/>
    <x v="6"/>
    <x v="3"/>
    <d v="2023-12-26T00:00:00"/>
    <d v="2023-08-15T00:00:00"/>
  </r>
  <r>
    <n v="2763994"/>
    <m/>
    <x v="2"/>
    <x v="1"/>
    <s v="Phone Service"/>
    <s v="Diego"/>
    <x v="0"/>
    <s v="Corporate Tools"/>
    <s v="note"/>
    <s v="Customer"/>
    <x v="3"/>
    <x v="5"/>
    <m/>
    <m/>
    <d v="2023-11-20T00:00:00"/>
    <x v="9"/>
    <x v="2"/>
    <d v="2023-09-11T00:00:00"/>
    <d v="2023-01-21T00:00:00"/>
  </r>
  <r>
    <n v="2544052"/>
    <m/>
    <x v="2"/>
    <x v="0"/>
    <s v="Phone Service"/>
    <s v="Diego"/>
    <x v="2"/>
    <s v="Corporate Tools"/>
    <s v="note"/>
    <s v="Customer"/>
    <x v="1"/>
    <x v="10"/>
    <m/>
    <m/>
    <d v="2023-08-09T00:00:00"/>
    <x v="8"/>
    <x v="1"/>
    <d v="2023-10-31T00:00:00"/>
    <d v="2023-01-22T00:00:00"/>
  </r>
  <r>
    <n v="2290694"/>
    <m/>
    <x v="1"/>
    <x v="1"/>
    <s v="Phone Service"/>
    <s v="Diego"/>
    <x v="0"/>
    <s v="Corporate Tools"/>
    <s v="note"/>
    <s v="Customer"/>
    <x v="3"/>
    <x v="14"/>
    <m/>
    <m/>
    <d v="2023-04-05T00:00:00"/>
    <x v="5"/>
    <x v="3"/>
    <d v="2023-12-05T00:00:00"/>
    <d v="2023-07-22T00:00:00"/>
  </r>
  <r>
    <n v="2619759"/>
    <m/>
    <x v="2"/>
    <x v="1"/>
    <s v="Phone Service"/>
    <s v="Diego"/>
    <x v="1"/>
    <s v="Corporate Tools"/>
    <s v="note"/>
    <s v="Customer"/>
    <x v="2"/>
    <x v="9"/>
    <m/>
    <m/>
    <d v="2023-07-14T00:00:00"/>
    <x v="2"/>
    <x v="1"/>
    <d v="2023-06-21T00:00:00"/>
    <d v="2023-12-19T00:00:00"/>
  </r>
  <r>
    <n v="2969789"/>
    <m/>
    <x v="1"/>
    <x v="0"/>
    <s v="Phone Service"/>
    <s v="Diego"/>
    <x v="1"/>
    <s v="Corporate Tools"/>
    <s v="note"/>
    <s v="Customer"/>
    <x v="0"/>
    <x v="7"/>
    <m/>
    <m/>
    <d v="2023-04-02T00:00:00"/>
    <x v="5"/>
    <x v="3"/>
    <d v="2023-06-26T00:00:00"/>
    <d v="2023-04-03T00:00:00"/>
  </r>
  <r>
    <n v="2147640"/>
    <m/>
    <x v="2"/>
    <x v="2"/>
    <s v="Phone Service"/>
    <s v="Diego"/>
    <x v="1"/>
    <s v="Corporate Tools"/>
    <s v="note"/>
    <s v="Customer"/>
    <x v="2"/>
    <x v="5"/>
    <m/>
    <m/>
    <d v="2023-06-14T00:00:00"/>
    <x v="6"/>
    <x v="3"/>
    <d v="2023-12-16T00:00:00"/>
    <d v="2023-09-22T00:00:00"/>
  </r>
  <r>
    <n v="2584243"/>
    <m/>
    <x v="1"/>
    <x v="0"/>
    <s v="Phone Service"/>
    <s v="Diego"/>
    <x v="3"/>
    <s v="Corporate Tools"/>
    <s v="note"/>
    <s v="Customer"/>
    <x v="0"/>
    <x v="10"/>
    <m/>
    <m/>
    <d v="2023-07-14T00:00:00"/>
    <x v="2"/>
    <x v="1"/>
    <d v="2023-02-19T00:00:00"/>
    <d v="2023-12-30T00:00:00"/>
  </r>
  <r>
    <n v="2459362"/>
    <m/>
    <x v="0"/>
    <x v="2"/>
    <s v="Phone Service"/>
    <s v="Diego"/>
    <x v="0"/>
    <s v="Corporate Tools"/>
    <s v="note"/>
    <s v="Customer"/>
    <x v="0"/>
    <x v="15"/>
    <m/>
    <m/>
    <d v="2023-08-12T00:00:00"/>
    <x v="8"/>
    <x v="1"/>
    <d v="2023-07-24T00:00:00"/>
    <d v="2023-01-12T00:00:00"/>
  </r>
  <r>
    <n v="2036109"/>
    <m/>
    <x v="1"/>
    <x v="0"/>
    <s v="Phone Service"/>
    <s v="Diego"/>
    <x v="3"/>
    <s v="Corporate Tools"/>
    <s v="note"/>
    <s v="Customer"/>
    <x v="1"/>
    <x v="13"/>
    <m/>
    <m/>
    <d v="2023-05-17T00:00:00"/>
    <x v="4"/>
    <x v="3"/>
    <d v="2023-09-03T00:00:00"/>
    <d v="2023-09-23T00:00:00"/>
  </r>
  <r>
    <n v="2722545"/>
    <m/>
    <x v="2"/>
    <x v="1"/>
    <s v="Phone Service"/>
    <s v="Diego"/>
    <x v="0"/>
    <s v="Corporate Tools"/>
    <s v="note"/>
    <s v="Customer"/>
    <x v="3"/>
    <x v="14"/>
    <m/>
    <m/>
    <d v="2023-07-18T00:00:00"/>
    <x v="2"/>
    <x v="1"/>
    <d v="2023-01-27T00:00:00"/>
    <d v="2023-07-29T00:00:00"/>
  </r>
  <r>
    <n v="2499610"/>
    <m/>
    <x v="0"/>
    <x v="2"/>
    <s v="Phone Service"/>
    <s v="Diego"/>
    <x v="1"/>
    <s v="Corporate Tools"/>
    <s v="note"/>
    <s v="Customer"/>
    <x v="2"/>
    <x v="15"/>
    <m/>
    <m/>
    <d v="2023-03-21T00:00:00"/>
    <x v="7"/>
    <x v="0"/>
    <d v="2023-05-07T00:00:00"/>
    <d v="2023-09-09T00:00:00"/>
  </r>
  <r>
    <n v="2080078"/>
    <m/>
    <x v="2"/>
    <x v="0"/>
    <s v="Phone Service"/>
    <s v="Diego"/>
    <x v="0"/>
    <s v="Corporate Tools"/>
    <s v="note"/>
    <s v="Customer"/>
    <x v="2"/>
    <x v="11"/>
    <m/>
    <m/>
    <d v="2023-08-12T00:00:00"/>
    <x v="8"/>
    <x v="1"/>
    <d v="2023-09-09T00:00:00"/>
    <d v="2023-11-11T00:00:00"/>
  </r>
  <r>
    <n v="2161839"/>
    <m/>
    <x v="0"/>
    <x v="0"/>
    <s v="Phone Service"/>
    <s v="Diego"/>
    <x v="3"/>
    <s v="Corporate Tools"/>
    <s v="note"/>
    <s v="Customer"/>
    <x v="1"/>
    <x v="0"/>
    <m/>
    <m/>
    <d v="2023-01-21T00:00:00"/>
    <x v="0"/>
    <x v="0"/>
    <d v="2023-07-19T00:00:00"/>
    <d v="2023-01-11T00:00:00"/>
  </r>
  <r>
    <n v="2847896"/>
    <m/>
    <x v="2"/>
    <x v="2"/>
    <s v="Phone Service"/>
    <s v="Diego"/>
    <x v="1"/>
    <s v="Corporate Tools"/>
    <s v="note"/>
    <s v="Customer"/>
    <x v="0"/>
    <x v="9"/>
    <m/>
    <m/>
    <d v="2023-10-26T00:00:00"/>
    <x v="3"/>
    <x v="2"/>
    <d v="2023-03-08T00:00:00"/>
    <d v="2023-04-12T00:00:00"/>
  </r>
  <r>
    <n v="2007453"/>
    <m/>
    <x v="0"/>
    <x v="1"/>
    <s v="Phone Service"/>
    <s v="Diego"/>
    <x v="3"/>
    <s v="Corporate Tools"/>
    <s v="note"/>
    <s v="Customer"/>
    <x v="0"/>
    <x v="7"/>
    <m/>
    <m/>
    <d v="2023-04-14T00:00:00"/>
    <x v="5"/>
    <x v="3"/>
    <d v="2023-05-24T00:00:00"/>
    <d v="2023-09-24T00:00:00"/>
  </r>
  <r>
    <n v="2538232"/>
    <m/>
    <x v="1"/>
    <x v="2"/>
    <s v="Phone Service"/>
    <s v="Diego"/>
    <x v="2"/>
    <s v="Corporate Tools"/>
    <s v="note"/>
    <s v="Customer"/>
    <x v="1"/>
    <x v="2"/>
    <m/>
    <m/>
    <d v="2023-04-10T00:00:00"/>
    <x v="5"/>
    <x v="3"/>
    <d v="2023-01-06T00:00:00"/>
    <d v="2023-04-19T00:00:00"/>
  </r>
  <r>
    <n v="2707628"/>
    <m/>
    <x v="2"/>
    <x v="2"/>
    <s v="Phone Service"/>
    <s v="Diego"/>
    <x v="3"/>
    <s v="Corporate Tools"/>
    <s v="note"/>
    <s v="Customer"/>
    <x v="2"/>
    <x v="15"/>
    <m/>
    <m/>
    <d v="2023-09-10T00:00:00"/>
    <x v="1"/>
    <x v="1"/>
    <d v="2023-09-24T00:00:00"/>
    <d v="2023-12-30T00:00:00"/>
  </r>
  <r>
    <n v="2760065"/>
    <m/>
    <x v="2"/>
    <x v="1"/>
    <s v="Phone Service"/>
    <s v="Diego"/>
    <x v="2"/>
    <s v="Corporate Tools"/>
    <s v="note"/>
    <s v="Customer"/>
    <x v="3"/>
    <x v="13"/>
    <m/>
    <m/>
    <d v="2023-07-30T00:00:00"/>
    <x v="2"/>
    <x v="1"/>
    <d v="2023-03-11T00:00:00"/>
    <d v="2023-06-08T00:00:00"/>
  </r>
  <r>
    <n v="2974657"/>
    <m/>
    <x v="2"/>
    <x v="0"/>
    <s v="Phone Service"/>
    <s v="Diego"/>
    <x v="0"/>
    <s v="Corporate Tools"/>
    <s v="note"/>
    <s v="Customer"/>
    <x v="3"/>
    <x v="2"/>
    <m/>
    <m/>
    <d v="2023-08-26T00:00:00"/>
    <x v="8"/>
    <x v="1"/>
    <d v="2023-02-13T00:00:00"/>
    <d v="2023-06-22T00:00:00"/>
  </r>
  <r>
    <n v="2613557"/>
    <m/>
    <x v="0"/>
    <x v="2"/>
    <s v="Phone Service"/>
    <s v="Diego"/>
    <x v="3"/>
    <s v="Corporate Tools"/>
    <s v="note"/>
    <s v="Customer"/>
    <x v="1"/>
    <x v="14"/>
    <m/>
    <m/>
    <d v="2023-06-13T00:00:00"/>
    <x v="6"/>
    <x v="3"/>
    <d v="2023-08-22T00:00:00"/>
    <d v="2024-01-06T00:00:00"/>
  </r>
  <r>
    <n v="2255296"/>
    <m/>
    <x v="1"/>
    <x v="0"/>
    <s v="Phone Service"/>
    <s v="Diego"/>
    <x v="0"/>
    <s v="Corporate Tools"/>
    <s v="note"/>
    <s v="Customer"/>
    <x v="1"/>
    <x v="0"/>
    <m/>
    <m/>
    <d v="2023-04-01T00:00:00"/>
    <x v="5"/>
    <x v="3"/>
    <d v="2023-04-04T00:00:00"/>
    <d v="2023-06-20T00:00:00"/>
  </r>
  <r>
    <n v="2846311"/>
    <m/>
    <x v="2"/>
    <x v="0"/>
    <s v="Phone Service"/>
    <s v="Diego"/>
    <x v="2"/>
    <s v="Corporate Tools"/>
    <s v="note"/>
    <s v="Customer"/>
    <x v="3"/>
    <x v="15"/>
    <m/>
    <m/>
    <d v="2023-12-22T00:00:00"/>
    <x v="10"/>
    <x v="2"/>
    <d v="2023-02-26T00:00:00"/>
    <d v="2023-02-12T00:00:00"/>
  </r>
  <r>
    <n v="2161278"/>
    <m/>
    <x v="0"/>
    <x v="0"/>
    <s v="Phone Service"/>
    <s v="Diego"/>
    <x v="3"/>
    <s v="Corporate Tools"/>
    <s v="note"/>
    <s v="Customer"/>
    <x v="3"/>
    <x v="10"/>
    <m/>
    <m/>
    <d v="2023-12-10T00:00:00"/>
    <x v="10"/>
    <x v="2"/>
    <d v="2023-08-15T00:00:00"/>
    <d v="2023-04-24T00:00:00"/>
  </r>
  <r>
    <n v="2560837"/>
    <m/>
    <x v="0"/>
    <x v="0"/>
    <s v="Phone Service"/>
    <s v="Diego"/>
    <x v="0"/>
    <s v="Corporate Tools"/>
    <s v="note"/>
    <s v="Customer"/>
    <x v="0"/>
    <x v="3"/>
    <m/>
    <m/>
    <d v="2023-05-13T00:00:00"/>
    <x v="4"/>
    <x v="3"/>
    <d v="2024-01-02T00:00:00"/>
    <d v="2023-07-25T00:00:00"/>
  </r>
  <r>
    <n v="2150200"/>
    <m/>
    <x v="0"/>
    <x v="0"/>
    <s v="Phone Service"/>
    <s v="Diego"/>
    <x v="1"/>
    <s v="Corporate Tools"/>
    <s v="note"/>
    <s v="Customer"/>
    <x v="0"/>
    <x v="11"/>
    <m/>
    <m/>
    <d v="2023-04-28T00:00:00"/>
    <x v="5"/>
    <x v="3"/>
    <d v="2023-04-17T00:00:00"/>
    <d v="2023-08-08T00:00:00"/>
  </r>
  <r>
    <n v="2446182"/>
    <m/>
    <x v="0"/>
    <x v="2"/>
    <s v="Phone Service"/>
    <s v="Diego"/>
    <x v="0"/>
    <s v="Corporate Tools"/>
    <s v="note"/>
    <s v="Customer"/>
    <x v="3"/>
    <x v="15"/>
    <m/>
    <m/>
    <d v="2023-09-24T00:00:00"/>
    <x v="1"/>
    <x v="1"/>
    <d v="2023-01-04T00:00:00"/>
    <d v="2023-12-30T00:00:00"/>
  </r>
  <r>
    <n v="2732152"/>
    <m/>
    <x v="2"/>
    <x v="2"/>
    <s v="Phone Service"/>
    <s v="Diego"/>
    <x v="3"/>
    <s v="Corporate Tools"/>
    <s v="note"/>
    <s v="Customer"/>
    <x v="1"/>
    <x v="7"/>
    <m/>
    <m/>
    <d v="2023-07-25T00:00:00"/>
    <x v="2"/>
    <x v="1"/>
    <d v="2023-08-12T00:00:00"/>
    <d v="2023-09-01T00:00:00"/>
  </r>
  <r>
    <n v="2253276"/>
    <m/>
    <x v="0"/>
    <x v="1"/>
    <s v="Phone Service"/>
    <s v="Diego"/>
    <x v="1"/>
    <s v="Corporate Tools"/>
    <s v="note"/>
    <s v="Customer"/>
    <x v="1"/>
    <x v="12"/>
    <m/>
    <m/>
    <d v="2023-07-02T00:00:00"/>
    <x v="2"/>
    <x v="1"/>
    <d v="2023-05-03T00:00:00"/>
    <d v="2023-06-30T00:00:00"/>
  </r>
  <r>
    <n v="2541404"/>
    <m/>
    <x v="1"/>
    <x v="0"/>
    <s v="Phone Service"/>
    <s v="Diego"/>
    <x v="0"/>
    <s v="Corporate Tools"/>
    <s v="note"/>
    <s v="Customer"/>
    <x v="0"/>
    <x v="10"/>
    <m/>
    <m/>
    <d v="2023-01-07T00:00:00"/>
    <x v="0"/>
    <x v="0"/>
    <d v="2024-01-03T00:00:00"/>
    <d v="2023-01-10T00:00:00"/>
  </r>
  <r>
    <n v="2643265"/>
    <m/>
    <x v="0"/>
    <x v="2"/>
    <s v="Phone Service"/>
    <s v="Diego"/>
    <x v="1"/>
    <s v="Corporate Tools"/>
    <s v="note"/>
    <s v="Customer"/>
    <x v="2"/>
    <x v="1"/>
    <m/>
    <m/>
    <d v="2023-10-17T00:00:00"/>
    <x v="3"/>
    <x v="2"/>
    <d v="2023-07-24T00:00:00"/>
    <d v="2023-07-26T00:00:00"/>
  </r>
  <r>
    <n v="2258018"/>
    <m/>
    <x v="1"/>
    <x v="1"/>
    <s v="Phone Service"/>
    <s v="Diego"/>
    <x v="1"/>
    <s v="Corporate Tools"/>
    <s v="note"/>
    <s v="Customer"/>
    <x v="0"/>
    <x v="1"/>
    <m/>
    <m/>
    <d v="2023-10-21T00:00:00"/>
    <x v="3"/>
    <x v="2"/>
    <d v="2023-08-30T00:00:00"/>
    <d v="2023-02-18T00:00:00"/>
  </r>
  <r>
    <n v="2797561"/>
    <m/>
    <x v="0"/>
    <x v="0"/>
    <s v="Phone Service"/>
    <s v="Diego"/>
    <x v="3"/>
    <s v="Corporate Tools"/>
    <s v="note"/>
    <s v="Customer"/>
    <x v="3"/>
    <x v="14"/>
    <m/>
    <m/>
    <d v="2023-06-18T00:00:00"/>
    <x v="6"/>
    <x v="3"/>
    <d v="2023-08-28T00:00:00"/>
    <d v="2023-09-28T00:00:00"/>
  </r>
  <r>
    <n v="2171471"/>
    <m/>
    <x v="2"/>
    <x v="1"/>
    <s v="Phone Service"/>
    <s v="Diego"/>
    <x v="2"/>
    <s v="Corporate Tools"/>
    <s v="note"/>
    <s v="Customer"/>
    <x v="2"/>
    <x v="1"/>
    <m/>
    <m/>
    <d v="2023-05-07T00:00:00"/>
    <x v="4"/>
    <x v="3"/>
    <d v="2023-11-05T00:00:00"/>
    <d v="2023-08-13T00:00:00"/>
  </r>
  <r>
    <n v="2439126"/>
    <m/>
    <x v="2"/>
    <x v="0"/>
    <s v="Phone Service"/>
    <s v="Diego"/>
    <x v="1"/>
    <s v="Corporate Tools"/>
    <s v="note"/>
    <s v="Customer"/>
    <x v="0"/>
    <x v="2"/>
    <m/>
    <m/>
    <d v="2023-06-21T00:00:00"/>
    <x v="6"/>
    <x v="3"/>
    <d v="2023-09-18T00:00:00"/>
    <d v="2023-04-07T00:00:00"/>
  </r>
  <r>
    <n v="2345048"/>
    <m/>
    <x v="2"/>
    <x v="1"/>
    <s v="Phone Service"/>
    <s v="Diego"/>
    <x v="0"/>
    <s v="Corporate Tools"/>
    <s v="note"/>
    <s v="Customer"/>
    <x v="2"/>
    <x v="13"/>
    <m/>
    <m/>
    <d v="2023-10-13T00:00:00"/>
    <x v="3"/>
    <x v="2"/>
    <d v="2023-07-03T00:00:00"/>
    <d v="2023-12-19T00:00:00"/>
  </r>
  <r>
    <n v="2590583"/>
    <m/>
    <x v="2"/>
    <x v="2"/>
    <s v="Phone Service"/>
    <s v="Diego"/>
    <x v="3"/>
    <s v="Corporate Tools"/>
    <s v="note"/>
    <s v="Customer"/>
    <x v="0"/>
    <x v="2"/>
    <m/>
    <m/>
    <d v="2023-11-26T00:00:00"/>
    <x v="9"/>
    <x v="2"/>
    <d v="2023-06-11T00:00:00"/>
    <d v="2023-12-13T00:00:00"/>
  </r>
  <r>
    <n v="2066087"/>
    <m/>
    <x v="0"/>
    <x v="2"/>
    <s v="Phone Service"/>
    <s v="Diego"/>
    <x v="1"/>
    <s v="Corporate Tools"/>
    <s v="note"/>
    <s v="Customer"/>
    <x v="1"/>
    <x v="6"/>
    <m/>
    <m/>
    <d v="2023-09-05T00:00:00"/>
    <x v="1"/>
    <x v="1"/>
    <d v="2023-02-26T00:00:00"/>
    <d v="2023-04-17T00:00:00"/>
  </r>
  <r>
    <n v="2739891"/>
    <m/>
    <x v="1"/>
    <x v="2"/>
    <s v="Phone Service"/>
    <s v="Diego"/>
    <x v="3"/>
    <s v="Corporate Tools"/>
    <s v="note"/>
    <s v="Customer"/>
    <x v="1"/>
    <x v="11"/>
    <m/>
    <m/>
    <d v="2023-02-03T00:00:00"/>
    <x v="11"/>
    <x v="0"/>
    <d v="2023-09-23T00:00:00"/>
    <d v="2023-07-28T00:00:00"/>
  </r>
  <r>
    <n v="2399636"/>
    <m/>
    <x v="2"/>
    <x v="2"/>
    <s v="Phone Service"/>
    <s v="Diego"/>
    <x v="2"/>
    <s v="Corporate Tools"/>
    <s v="note"/>
    <s v="Customer"/>
    <x v="1"/>
    <x v="1"/>
    <m/>
    <m/>
    <d v="2023-01-21T00:00:00"/>
    <x v="0"/>
    <x v="0"/>
    <d v="2023-03-09T00:00:00"/>
    <d v="2023-03-28T00:00:00"/>
  </r>
  <r>
    <n v="2955159"/>
    <m/>
    <x v="1"/>
    <x v="0"/>
    <s v="Phone Service"/>
    <s v="Diego"/>
    <x v="3"/>
    <s v="Corporate Tools"/>
    <s v="note"/>
    <s v="Customer"/>
    <x v="3"/>
    <x v="8"/>
    <m/>
    <m/>
    <d v="2023-09-14T00:00:00"/>
    <x v="1"/>
    <x v="1"/>
    <d v="2023-07-08T00:00:00"/>
    <d v="2023-02-13T00:00:00"/>
  </r>
  <r>
    <n v="2098523"/>
    <m/>
    <x v="0"/>
    <x v="1"/>
    <s v="Phone Service"/>
    <s v="Diego"/>
    <x v="1"/>
    <s v="Corporate Tools"/>
    <s v="note"/>
    <s v="Customer"/>
    <x v="2"/>
    <x v="13"/>
    <m/>
    <m/>
    <d v="2023-04-25T00:00:00"/>
    <x v="5"/>
    <x v="3"/>
    <d v="2023-11-26T00:00:00"/>
    <d v="2023-11-27T00:00:00"/>
  </r>
  <r>
    <n v="2432006"/>
    <m/>
    <x v="2"/>
    <x v="2"/>
    <s v="Phone Service"/>
    <s v="Diego"/>
    <x v="3"/>
    <s v="Corporate Tools"/>
    <s v="note"/>
    <s v="Customer"/>
    <x v="2"/>
    <x v="7"/>
    <m/>
    <m/>
    <d v="2023-06-08T00:00:00"/>
    <x v="6"/>
    <x v="3"/>
    <d v="2023-12-13T00:00:00"/>
    <d v="2023-05-01T00:00:00"/>
  </r>
  <r>
    <n v="2086246"/>
    <m/>
    <x v="2"/>
    <x v="1"/>
    <s v="Phone Service"/>
    <s v="Diego"/>
    <x v="3"/>
    <s v="Corporate Tools"/>
    <s v="note"/>
    <s v="Customer"/>
    <x v="0"/>
    <x v="6"/>
    <m/>
    <m/>
    <d v="2023-10-04T00:00:00"/>
    <x v="3"/>
    <x v="2"/>
    <d v="2023-03-12T00:00:00"/>
    <d v="2023-02-07T00:00:00"/>
  </r>
  <r>
    <n v="2608285"/>
    <m/>
    <x v="2"/>
    <x v="2"/>
    <s v="Phone Service"/>
    <s v="Diego"/>
    <x v="2"/>
    <s v="Corporate Tools"/>
    <s v="note"/>
    <s v="Customer"/>
    <x v="3"/>
    <x v="13"/>
    <m/>
    <m/>
    <d v="2023-09-29T00:00:00"/>
    <x v="1"/>
    <x v="1"/>
    <d v="2023-12-23T00:00:00"/>
    <d v="2023-05-06T00:00:00"/>
  </r>
  <r>
    <n v="2870692"/>
    <m/>
    <x v="2"/>
    <x v="0"/>
    <s v="Phone Service"/>
    <s v="Diego"/>
    <x v="2"/>
    <s v="Corporate Tools"/>
    <s v="note"/>
    <s v="Customer"/>
    <x v="1"/>
    <x v="3"/>
    <m/>
    <m/>
    <d v="2023-05-14T00:00:00"/>
    <x v="4"/>
    <x v="3"/>
    <d v="2023-09-05T00:00:00"/>
    <d v="2023-08-04T00:00:00"/>
  </r>
  <r>
    <n v="2542263"/>
    <m/>
    <x v="0"/>
    <x v="1"/>
    <s v="Phone Service"/>
    <s v="Diego"/>
    <x v="2"/>
    <s v="Corporate Tools"/>
    <s v="note"/>
    <s v="Customer"/>
    <x v="1"/>
    <x v="0"/>
    <m/>
    <m/>
    <d v="2023-03-23T00:00:00"/>
    <x v="7"/>
    <x v="0"/>
    <d v="2023-12-11T00:00:00"/>
    <d v="2023-06-06T00:00:00"/>
  </r>
  <r>
    <n v="2370893"/>
    <m/>
    <x v="1"/>
    <x v="1"/>
    <s v="Phone Service"/>
    <s v="Diego"/>
    <x v="3"/>
    <s v="Corporate Tools"/>
    <s v="note"/>
    <s v="Customer"/>
    <x v="0"/>
    <x v="9"/>
    <m/>
    <m/>
    <d v="2023-06-11T00:00:00"/>
    <x v="6"/>
    <x v="3"/>
    <d v="2023-04-19T00:00:00"/>
    <d v="2023-03-28T00:00:00"/>
  </r>
  <r>
    <n v="2575828"/>
    <m/>
    <x v="1"/>
    <x v="2"/>
    <s v="Phone Service"/>
    <s v="Diego"/>
    <x v="0"/>
    <s v="Corporate Tools"/>
    <s v="note"/>
    <s v="Customer"/>
    <x v="0"/>
    <x v="3"/>
    <m/>
    <m/>
    <d v="2023-04-26T00:00:00"/>
    <x v="5"/>
    <x v="3"/>
    <d v="2023-02-19T00:00:00"/>
    <d v="2023-04-10T00:00:00"/>
  </r>
  <r>
    <n v="2481352"/>
    <m/>
    <x v="0"/>
    <x v="2"/>
    <s v="Phone Service"/>
    <s v="Diego"/>
    <x v="0"/>
    <s v="Corporate Tools"/>
    <s v="note"/>
    <s v="Customer"/>
    <x v="2"/>
    <x v="7"/>
    <m/>
    <m/>
    <d v="2023-06-23T00:00:00"/>
    <x v="6"/>
    <x v="3"/>
    <d v="2023-01-08T00:00:00"/>
    <d v="2023-04-20T00:00:00"/>
  </r>
  <r>
    <n v="2748327"/>
    <m/>
    <x v="2"/>
    <x v="2"/>
    <s v="Phone Service"/>
    <s v="Diego"/>
    <x v="3"/>
    <s v="Corporate Tools"/>
    <s v="note"/>
    <s v="Customer"/>
    <x v="2"/>
    <x v="7"/>
    <m/>
    <m/>
    <d v="2023-03-09T00:00:00"/>
    <x v="7"/>
    <x v="0"/>
    <d v="2023-06-18T00:00:00"/>
    <d v="2023-02-21T00:00:00"/>
  </r>
  <r>
    <n v="2414165"/>
    <m/>
    <x v="1"/>
    <x v="2"/>
    <s v="Phone Service"/>
    <s v="Diego"/>
    <x v="2"/>
    <s v="Corporate Tools"/>
    <s v="note"/>
    <s v="Customer"/>
    <x v="0"/>
    <x v="4"/>
    <m/>
    <m/>
    <d v="2023-01-27T00:00:00"/>
    <x v="0"/>
    <x v="0"/>
    <d v="2023-05-23T00:00:00"/>
    <d v="2023-03-09T00:00:00"/>
  </r>
  <r>
    <n v="2179360"/>
    <m/>
    <x v="1"/>
    <x v="1"/>
    <s v="Phone Service"/>
    <s v="Diego"/>
    <x v="1"/>
    <s v="Corporate Tools"/>
    <s v="note"/>
    <s v="Customer"/>
    <x v="2"/>
    <x v="3"/>
    <m/>
    <m/>
    <d v="2023-09-22T00:00:00"/>
    <x v="1"/>
    <x v="1"/>
    <d v="2023-11-01T00:00:00"/>
    <d v="2023-09-24T00:00:00"/>
  </r>
  <r>
    <n v="2319040"/>
    <m/>
    <x v="1"/>
    <x v="0"/>
    <s v="Phone Service"/>
    <s v="Diego"/>
    <x v="0"/>
    <s v="Corporate Tools"/>
    <s v="note"/>
    <s v="Customer"/>
    <x v="2"/>
    <x v="14"/>
    <m/>
    <m/>
    <d v="2024-01-01T00:00:00"/>
    <x v="0"/>
    <x v="0"/>
    <d v="2023-08-21T00:00:00"/>
    <d v="2023-05-21T00:00:00"/>
  </r>
  <r>
    <n v="2144889"/>
    <m/>
    <x v="1"/>
    <x v="0"/>
    <s v="Phone Service"/>
    <s v="Diego"/>
    <x v="3"/>
    <s v="Corporate Tools"/>
    <s v="note"/>
    <s v="Customer"/>
    <x v="1"/>
    <x v="3"/>
    <m/>
    <m/>
    <d v="2023-12-25T00:00:00"/>
    <x v="10"/>
    <x v="2"/>
    <d v="2023-07-03T00:00:00"/>
    <d v="2023-08-07T00:00:00"/>
  </r>
  <r>
    <n v="2695667"/>
    <m/>
    <x v="0"/>
    <x v="2"/>
    <s v="Phone Service"/>
    <s v="Diego"/>
    <x v="1"/>
    <s v="Corporate Tools"/>
    <s v="note"/>
    <s v="Customer"/>
    <x v="1"/>
    <x v="11"/>
    <m/>
    <m/>
    <d v="2023-12-07T00:00:00"/>
    <x v="10"/>
    <x v="2"/>
    <d v="2023-01-28T00:00:00"/>
    <d v="2023-04-09T00:00:00"/>
  </r>
  <r>
    <n v="2917119"/>
    <m/>
    <x v="1"/>
    <x v="2"/>
    <s v="Phone Service"/>
    <s v="Diego"/>
    <x v="2"/>
    <s v="Corporate Tools"/>
    <s v="note"/>
    <s v="Customer"/>
    <x v="1"/>
    <x v="13"/>
    <m/>
    <m/>
    <d v="2023-09-18T00:00:00"/>
    <x v="1"/>
    <x v="1"/>
    <d v="2023-09-16T00:00:00"/>
    <d v="2023-02-09T00:00:00"/>
  </r>
  <r>
    <n v="2190912"/>
    <m/>
    <x v="1"/>
    <x v="0"/>
    <s v="Phone Service"/>
    <s v="Diego"/>
    <x v="2"/>
    <s v="Corporate Tools"/>
    <s v="note"/>
    <s v="Customer"/>
    <x v="2"/>
    <x v="6"/>
    <m/>
    <m/>
    <d v="2023-02-16T00:00:00"/>
    <x v="11"/>
    <x v="0"/>
    <d v="2023-01-15T00:00:00"/>
    <d v="2023-06-18T00:00:00"/>
  </r>
  <r>
    <n v="2570838"/>
    <m/>
    <x v="0"/>
    <x v="2"/>
    <s v="Phone Service"/>
    <s v="Diego"/>
    <x v="1"/>
    <s v="Corporate Tools"/>
    <s v="note"/>
    <s v="Customer"/>
    <x v="2"/>
    <x v="4"/>
    <m/>
    <m/>
    <d v="2023-05-05T00:00:00"/>
    <x v="4"/>
    <x v="3"/>
    <d v="2023-09-25T00:00:00"/>
    <d v="2023-02-09T00:00:00"/>
  </r>
  <r>
    <n v="2211035"/>
    <m/>
    <x v="0"/>
    <x v="1"/>
    <s v="Phone Service"/>
    <s v="Diego"/>
    <x v="0"/>
    <s v="Corporate Tools"/>
    <s v="note"/>
    <s v="Customer"/>
    <x v="0"/>
    <x v="1"/>
    <m/>
    <m/>
    <d v="2023-12-10T00:00:00"/>
    <x v="10"/>
    <x v="2"/>
    <d v="2023-08-11T00:00:00"/>
    <d v="2023-06-29T00:00:00"/>
  </r>
  <r>
    <n v="2367698"/>
    <m/>
    <x v="0"/>
    <x v="0"/>
    <s v="Phone Service"/>
    <s v="Diego"/>
    <x v="3"/>
    <s v="Corporate Tools"/>
    <s v="note"/>
    <s v="Customer"/>
    <x v="3"/>
    <x v="8"/>
    <m/>
    <m/>
    <d v="2023-11-02T00:00:00"/>
    <x v="9"/>
    <x v="2"/>
    <d v="2023-08-16T00:00:00"/>
    <d v="2023-04-14T00:00:00"/>
  </r>
  <r>
    <n v="2053759"/>
    <m/>
    <x v="2"/>
    <x v="0"/>
    <s v="Phone Service"/>
    <s v="Diego"/>
    <x v="0"/>
    <s v="Corporate Tools"/>
    <s v="note"/>
    <s v="Customer"/>
    <x v="2"/>
    <x v="5"/>
    <m/>
    <m/>
    <d v="2023-10-14T00:00:00"/>
    <x v="3"/>
    <x v="2"/>
    <d v="2023-11-02T00:00:00"/>
    <d v="2023-08-27T00:00:00"/>
  </r>
  <r>
    <n v="2213736"/>
    <m/>
    <x v="0"/>
    <x v="0"/>
    <s v="Phone Service"/>
    <s v="Diego"/>
    <x v="2"/>
    <s v="Corporate Tools"/>
    <s v="note"/>
    <s v="Customer"/>
    <x v="2"/>
    <x v="15"/>
    <m/>
    <m/>
    <d v="2023-01-01T00:00:00"/>
    <x v="0"/>
    <x v="0"/>
    <d v="2023-07-18T00:00:00"/>
    <d v="2023-01-01T00:00:00"/>
  </r>
  <r>
    <n v="2848456"/>
    <m/>
    <x v="1"/>
    <x v="2"/>
    <s v="Phone Service"/>
    <s v="Diego"/>
    <x v="0"/>
    <s v="Corporate Tools"/>
    <s v="note"/>
    <s v="Customer"/>
    <x v="0"/>
    <x v="10"/>
    <m/>
    <m/>
    <d v="2023-02-12T00:00:00"/>
    <x v="11"/>
    <x v="0"/>
    <d v="2023-01-28T00:00:00"/>
    <d v="2023-11-15T00:00:00"/>
  </r>
  <r>
    <n v="2243744"/>
    <m/>
    <x v="2"/>
    <x v="1"/>
    <s v="Phone Service"/>
    <s v="Diego"/>
    <x v="0"/>
    <s v="Corporate Tools"/>
    <s v="note"/>
    <s v="Customer"/>
    <x v="3"/>
    <x v="8"/>
    <m/>
    <m/>
    <d v="2023-09-27T00:00:00"/>
    <x v="1"/>
    <x v="1"/>
    <d v="2023-09-19T00:00:00"/>
    <d v="2023-05-25T00:00:00"/>
  </r>
  <r>
    <n v="2871413"/>
    <m/>
    <x v="2"/>
    <x v="2"/>
    <s v="Phone Service"/>
    <s v="Diego"/>
    <x v="0"/>
    <s v="Corporate Tools"/>
    <s v="note"/>
    <s v="Customer"/>
    <x v="1"/>
    <x v="8"/>
    <m/>
    <m/>
    <d v="2023-10-04T00:00:00"/>
    <x v="3"/>
    <x v="2"/>
    <d v="2023-05-19T00:00:00"/>
    <d v="2023-12-19T00:00:00"/>
  </r>
  <r>
    <n v="2000499"/>
    <m/>
    <x v="0"/>
    <x v="2"/>
    <s v="Phone Service"/>
    <s v="Diego"/>
    <x v="2"/>
    <s v="Corporate Tools"/>
    <s v="note"/>
    <s v="Customer"/>
    <x v="3"/>
    <x v="15"/>
    <m/>
    <m/>
    <d v="2023-05-17T00:00:00"/>
    <x v="4"/>
    <x v="3"/>
    <d v="2023-04-05T00:00:00"/>
    <d v="2023-03-07T00:00:00"/>
  </r>
  <r>
    <n v="2038097"/>
    <m/>
    <x v="2"/>
    <x v="2"/>
    <s v="Phone Service"/>
    <s v="Diego"/>
    <x v="1"/>
    <s v="Corporate Tools"/>
    <s v="note"/>
    <s v="Customer"/>
    <x v="0"/>
    <x v="5"/>
    <m/>
    <m/>
    <d v="2023-06-26T00:00:00"/>
    <x v="6"/>
    <x v="3"/>
    <d v="2023-04-04T00:00:00"/>
    <d v="2023-11-04T00:00:00"/>
  </r>
  <r>
    <n v="2299813"/>
    <m/>
    <x v="0"/>
    <x v="1"/>
    <s v="Phone Service"/>
    <s v="Diego"/>
    <x v="1"/>
    <s v="Corporate Tools"/>
    <s v="note"/>
    <s v="Customer"/>
    <x v="1"/>
    <x v="6"/>
    <m/>
    <m/>
    <d v="2023-02-12T00:00:00"/>
    <x v="11"/>
    <x v="0"/>
    <d v="2023-06-23T00:00:00"/>
    <d v="2023-10-06T00:00:00"/>
  </r>
  <r>
    <n v="2223953"/>
    <m/>
    <x v="2"/>
    <x v="0"/>
    <s v="Phone Service"/>
    <s v="Diego"/>
    <x v="1"/>
    <s v="Corporate Tools"/>
    <s v="note"/>
    <s v="Customer"/>
    <x v="0"/>
    <x v="9"/>
    <m/>
    <m/>
    <d v="2023-02-01T00:00:00"/>
    <x v="11"/>
    <x v="0"/>
    <d v="2023-06-30T00:00:00"/>
    <d v="2023-08-25T00:00:00"/>
  </r>
  <r>
    <n v="2434582"/>
    <m/>
    <x v="2"/>
    <x v="0"/>
    <s v="Phone Service"/>
    <s v="Diego"/>
    <x v="2"/>
    <s v="Corporate Tools"/>
    <s v="note"/>
    <s v="Customer"/>
    <x v="0"/>
    <x v="2"/>
    <m/>
    <m/>
    <d v="2023-03-09T00:00:00"/>
    <x v="7"/>
    <x v="0"/>
    <d v="2023-10-15T00:00:00"/>
    <d v="2023-12-23T00:00:00"/>
  </r>
  <r>
    <n v="2261890"/>
    <m/>
    <x v="2"/>
    <x v="2"/>
    <s v="Phone Service"/>
    <s v="Diego"/>
    <x v="3"/>
    <s v="Corporate Tools"/>
    <s v="note"/>
    <s v="Customer"/>
    <x v="3"/>
    <x v="7"/>
    <m/>
    <m/>
    <d v="2023-04-23T00:00:00"/>
    <x v="5"/>
    <x v="3"/>
    <d v="2023-09-22T00:00:00"/>
    <d v="2023-11-09T00:00:00"/>
  </r>
  <r>
    <n v="2629096"/>
    <m/>
    <x v="2"/>
    <x v="1"/>
    <s v="Phone Service"/>
    <s v="Diego"/>
    <x v="3"/>
    <s v="Corporate Tools"/>
    <s v="note"/>
    <s v="Customer"/>
    <x v="3"/>
    <x v="3"/>
    <m/>
    <m/>
    <d v="2023-08-15T00:00:00"/>
    <x v="8"/>
    <x v="1"/>
    <d v="2023-08-29T00:00:00"/>
    <d v="2023-09-29T00:00:00"/>
  </r>
  <r>
    <n v="2977851"/>
    <m/>
    <x v="2"/>
    <x v="1"/>
    <s v="Phone Service"/>
    <s v="Diego"/>
    <x v="3"/>
    <s v="Corporate Tools"/>
    <s v="note"/>
    <s v="Customer"/>
    <x v="2"/>
    <x v="1"/>
    <m/>
    <m/>
    <d v="2023-06-07T00:00:00"/>
    <x v="6"/>
    <x v="3"/>
    <d v="2023-12-20T00:00:00"/>
    <d v="2023-01-22T00:00:00"/>
  </r>
  <r>
    <n v="2404530"/>
    <m/>
    <x v="1"/>
    <x v="0"/>
    <s v="Phone Service"/>
    <s v="Diego"/>
    <x v="3"/>
    <s v="Corporate Tools"/>
    <s v="note"/>
    <s v="Customer"/>
    <x v="3"/>
    <x v="12"/>
    <m/>
    <m/>
    <d v="2023-05-13T00:00:00"/>
    <x v="4"/>
    <x v="3"/>
    <d v="2023-01-13T00:00:00"/>
    <d v="2023-06-20T00:00:00"/>
  </r>
  <r>
    <n v="2687227"/>
    <m/>
    <x v="2"/>
    <x v="0"/>
    <s v="Phone Service"/>
    <s v="Diego"/>
    <x v="1"/>
    <s v="Corporate Tools"/>
    <s v="note"/>
    <s v="Customer"/>
    <x v="0"/>
    <x v="13"/>
    <m/>
    <m/>
    <d v="2023-05-27T00:00:00"/>
    <x v="4"/>
    <x v="3"/>
    <d v="2023-12-23T00:00:00"/>
    <d v="2023-07-29T00:00:00"/>
  </r>
  <r>
    <n v="2823878"/>
    <m/>
    <x v="0"/>
    <x v="1"/>
    <s v="Phone Service"/>
    <s v="Diego"/>
    <x v="1"/>
    <s v="Corporate Tools"/>
    <s v="note"/>
    <s v="Customer"/>
    <x v="3"/>
    <x v="10"/>
    <m/>
    <m/>
    <d v="2023-11-25T00:00:00"/>
    <x v="9"/>
    <x v="2"/>
    <d v="2023-07-29T00:00:00"/>
    <d v="2023-02-13T00:00:00"/>
  </r>
  <r>
    <n v="2061470"/>
    <m/>
    <x v="0"/>
    <x v="1"/>
    <s v="Phone Service"/>
    <s v="Diego"/>
    <x v="3"/>
    <s v="Corporate Tools"/>
    <s v="note"/>
    <s v="Customer"/>
    <x v="3"/>
    <x v="6"/>
    <m/>
    <m/>
    <d v="2023-05-18T00:00:00"/>
    <x v="4"/>
    <x v="3"/>
    <d v="2023-04-20T00:00:00"/>
    <d v="2023-02-18T00:00:00"/>
  </r>
  <r>
    <n v="2801574"/>
    <m/>
    <x v="2"/>
    <x v="1"/>
    <s v="Phone Service"/>
    <s v="Diego"/>
    <x v="2"/>
    <s v="Corporate Tools"/>
    <s v="note"/>
    <s v="Customer"/>
    <x v="1"/>
    <x v="6"/>
    <m/>
    <m/>
    <d v="2023-02-15T00:00:00"/>
    <x v="11"/>
    <x v="0"/>
    <d v="2023-02-22T00:00:00"/>
    <d v="2023-07-21T00:00:00"/>
  </r>
  <r>
    <n v="2163843"/>
    <m/>
    <x v="0"/>
    <x v="0"/>
    <s v="Phone Service"/>
    <s v="Diego"/>
    <x v="0"/>
    <s v="Corporate Tools"/>
    <s v="note"/>
    <s v="Customer"/>
    <x v="3"/>
    <x v="8"/>
    <m/>
    <m/>
    <d v="2023-10-10T00:00:00"/>
    <x v="3"/>
    <x v="2"/>
    <d v="2023-12-12T00:00:00"/>
    <d v="2023-11-20T00:00:00"/>
  </r>
  <r>
    <n v="2153846"/>
    <m/>
    <x v="1"/>
    <x v="0"/>
    <s v="Phone Service"/>
    <s v="Diego"/>
    <x v="0"/>
    <s v="Corporate Tools"/>
    <s v="note"/>
    <s v="Customer"/>
    <x v="1"/>
    <x v="2"/>
    <m/>
    <m/>
    <d v="2023-05-07T00:00:00"/>
    <x v="4"/>
    <x v="3"/>
    <d v="2023-03-03T00:00:00"/>
    <d v="2023-08-13T00:00:00"/>
  </r>
  <r>
    <n v="2263206"/>
    <m/>
    <x v="1"/>
    <x v="2"/>
    <s v="Phone Service"/>
    <s v="Diego"/>
    <x v="1"/>
    <s v="Corporate Tools"/>
    <s v="note"/>
    <s v="Customer"/>
    <x v="1"/>
    <x v="4"/>
    <m/>
    <m/>
    <d v="2023-08-03T00:00:00"/>
    <x v="8"/>
    <x v="1"/>
    <d v="2023-11-19T00:00:00"/>
    <d v="2023-01-17T00:00:00"/>
  </r>
  <r>
    <n v="2944631"/>
    <m/>
    <x v="0"/>
    <x v="1"/>
    <s v="Phone Service"/>
    <s v="Diego"/>
    <x v="2"/>
    <s v="Corporate Tools"/>
    <s v="note"/>
    <s v="Customer"/>
    <x v="0"/>
    <x v="8"/>
    <m/>
    <m/>
    <d v="2023-01-09T00:00:00"/>
    <x v="0"/>
    <x v="0"/>
    <d v="2023-12-31T00:00:00"/>
    <d v="2023-09-22T00:00:00"/>
  </r>
  <r>
    <n v="2710330"/>
    <m/>
    <x v="2"/>
    <x v="2"/>
    <s v="Phone Service"/>
    <s v="Diego"/>
    <x v="0"/>
    <s v="Corporate Tools"/>
    <s v="note"/>
    <s v="Customer"/>
    <x v="2"/>
    <x v="8"/>
    <m/>
    <m/>
    <d v="2023-01-09T00:00:00"/>
    <x v="0"/>
    <x v="0"/>
    <d v="2023-02-27T00:00:00"/>
    <d v="2023-11-28T00:00:00"/>
  </r>
  <r>
    <n v="2822558"/>
    <m/>
    <x v="2"/>
    <x v="2"/>
    <s v="Phone Service"/>
    <s v="Diego"/>
    <x v="3"/>
    <s v="Corporate Tools"/>
    <s v="note"/>
    <s v="Customer"/>
    <x v="3"/>
    <x v="1"/>
    <m/>
    <m/>
    <d v="2023-01-28T00:00:00"/>
    <x v="0"/>
    <x v="0"/>
    <d v="2023-08-23T00:00:00"/>
    <d v="2023-02-01T00:00:00"/>
  </r>
  <r>
    <n v="2716607"/>
    <m/>
    <x v="0"/>
    <x v="2"/>
    <s v="Phone Service"/>
    <s v="Diego"/>
    <x v="1"/>
    <s v="Corporate Tools"/>
    <s v="note"/>
    <s v="Customer"/>
    <x v="1"/>
    <x v="10"/>
    <m/>
    <m/>
    <d v="2023-01-27T00:00:00"/>
    <x v="0"/>
    <x v="0"/>
    <d v="2023-03-09T00:00:00"/>
    <d v="2023-05-25T00:00:00"/>
  </r>
  <r>
    <n v="2344739"/>
    <m/>
    <x v="2"/>
    <x v="1"/>
    <s v="Phone Service"/>
    <s v="Diego"/>
    <x v="0"/>
    <s v="Corporate Tools"/>
    <s v="note"/>
    <s v="Customer"/>
    <x v="2"/>
    <x v="3"/>
    <m/>
    <m/>
    <d v="2023-05-15T00:00:00"/>
    <x v="4"/>
    <x v="3"/>
    <d v="2023-09-16T00:00:00"/>
    <d v="2023-08-04T00:00:00"/>
  </r>
  <r>
    <n v="2299479"/>
    <m/>
    <x v="2"/>
    <x v="0"/>
    <s v="Phone Service"/>
    <s v="Diego"/>
    <x v="2"/>
    <s v="Corporate Tools"/>
    <s v="note"/>
    <s v="Customer"/>
    <x v="3"/>
    <x v="0"/>
    <m/>
    <m/>
    <d v="2023-02-03T00:00:00"/>
    <x v="11"/>
    <x v="0"/>
    <d v="2023-06-23T00:00:00"/>
    <d v="2023-04-14T00:00:00"/>
  </r>
  <r>
    <n v="2388419"/>
    <m/>
    <x v="1"/>
    <x v="1"/>
    <s v="Phone Service"/>
    <s v="Diego"/>
    <x v="3"/>
    <s v="Corporate Tools"/>
    <s v="note"/>
    <s v="Customer"/>
    <x v="1"/>
    <x v="4"/>
    <m/>
    <m/>
    <d v="2023-04-26T00:00:00"/>
    <x v="5"/>
    <x v="3"/>
    <d v="2023-08-30T00:00:00"/>
    <d v="2023-03-13T00:00:00"/>
  </r>
  <r>
    <n v="2779280"/>
    <m/>
    <x v="0"/>
    <x v="1"/>
    <s v="Phone Service"/>
    <s v="Diego"/>
    <x v="1"/>
    <s v="Corporate Tools"/>
    <s v="note"/>
    <s v="Customer"/>
    <x v="2"/>
    <x v="10"/>
    <m/>
    <m/>
    <d v="2023-04-16T00:00:00"/>
    <x v="5"/>
    <x v="3"/>
    <d v="2023-05-12T00:00:00"/>
    <d v="2023-10-26T00:00:00"/>
  </r>
  <r>
    <n v="2516080"/>
    <m/>
    <x v="1"/>
    <x v="2"/>
    <s v="Phone Service"/>
    <s v="Diego"/>
    <x v="0"/>
    <s v="Corporate Tools"/>
    <s v="note"/>
    <s v="Customer"/>
    <x v="2"/>
    <x v="2"/>
    <m/>
    <m/>
    <d v="2023-07-12T00:00:00"/>
    <x v="2"/>
    <x v="1"/>
    <d v="2023-11-03T00:00:00"/>
    <d v="2023-07-30T00:00:00"/>
  </r>
  <r>
    <n v="2296128"/>
    <m/>
    <x v="2"/>
    <x v="0"/>
    <s v="Phone Service"/>
    <s v="Diego"/>
    <x v="0"/>
    <s v="Corporate Tools"/>
    <s v="note"/>
    <s v="Customer"/>
    <x v="0"/>
    <x v="13"/>
    <m/>
    <m/>
    <d v="2023-11-16T00:00:00"/>
    <x v="9"/>
    <x v="2"/>
    <d v="2023-06-16T00:00:00"/>
    <d v="2023-03-10T00:00:00"/>
  </r>
  <r>
    <n v="2372555"/>
    <m/>
    <x v="0"/>
    <x v="1"/>
    <s v="Phone Service"/>
    <s v="Diego"/>
    <x v="3"/>
    <s v="Corporate Tools"/>
    <s v="note"/>
    <s v="Customer"/>
    <x v="1"/>
    <x v="3"/>
    <m/>
    <m/>
    <d v="2024-01-06T00:00:00"/>
    <x v="0"/>
    <x v="0"/>
    <d v="2023-08-28T00:00:00"/>
    <d v="2023-07-04T00:00:00"/>
  </r>
  <r>
    <n v="2512054"/>
    <m/>
    <x v="2"/>
    <x v="2"/>
    <s v="Phone Service"/>
    <s v="Diego"/>
    <x v="0"/>
    <s v="Corporate Tools"/>
    <s v="note"/>
    <s v="Customer"/>
    <x v="1"/>
    <x v="6"/>
    <m/>
    <m/>
    <d v="2023-12-14T00:00:00"/>
    <x v="10"/>
    <x v="2"/>
    <d v="2023-03-23T00:00:00"/>
    <d v="2023-02-28T00:00:00"/>
  </r>
  <r>
    <n v="2967614"/>
    <m/>
    <x v="0"/>
    <x v="2"/>
    <s v="Phone Service"/>
    <s v="Diego"/>
    <x v="2"/>
    <s v="Corporate Tools"/>
    <s v="note"/>
    <s v="Customer"/>
    <x v="1"/>
    <x v="0"/>
    <m/>
    <m/>
    <d v="2023-07-17T00:00:00"/>
    <x v="2"/>
    <x v="1"/>
    <d v="2024-01-07T00:00:00"/>
    <d v="2023-09-17T00:00:00"/>
  </r>
  <r>
    <n v="2609433"/>
    <m/>
    <x v="2"/>
    <x v="1"/>
    <s v="Phone Service"/>
    <s v="Diego"/>
    <x v="0"/>
    <s v="Corporate Tools"/>
    <s v="note"/>
    <s v="Customer"/>
    <x v="0"/>
    <x v="8"/>
    <m/>
    <m/>
    <d v="2023-12-23T00:00:00"/>
    <x v="10"/>
    <x v="2"/>
    <d v="2023-08-26T00:00:00"/>
    <d v="2023-10-31T00:00:00"/>
  </r>
  <r>
    <n v="2110957"/>
    <m/>
    <x v="2"/>
    <x v="2"/>
    <s v="Phone Service"/>
    <s v="Diego"/>
    <x v="3"/>
    <s v="Corporate Tools"/>
    <s v="note"/>
    <s v="Customer"/>
    <x v="3"/>
    <x v="10"/>
    <m/>
    <m/>
    <d v="2023-07-30T00:00:00"/>
    <x v="2"/>
    <x v="1"/>
    <d v="2023-10-15T00:00:00"/>
    <d v="2023-07-25T00:00:00"/>
  </r>
  <r>
    <n v="2798916"/>
    <m/>
    <x v="0"/>
    <x v="2"/>
    <s v="Phone Service"/>
    <s v="Diego"/>
    <x v="0"/>
    <s v="Corporate Tools"/>
    <s v="note"/>
    <s v="Customer"/>
    <x v="1"/>
    <x v="6"/>
    <m/>
    <m/>
    <d v="2023-08-23T00:00:00"/>
    <x v="8"/>
    <x v="1"/>
    <d v="2023-12-19T00:00:00"/>
    <d v="2023-03-21T00:00:00"/>
  </r>
  <r>
    <n v="2078046"/>
    <m/>
    <x v="0"/>
    <x v="2"/>
    <s v="Phone Service"/>
    <s v="Diego"/>
    <x v="3"/>
    <s v="Corporate Tools"/>
    <s v="note"/>
    <s v="Customer"/>
    <x v="3"/>
    <x v="4"/>
    <m/>
    <m/>
    <d v="2023-06-26T00:00:00"/>
    <x v="6"/>
    <x v="3"/>
    <d v="2023-09-23T00:00:00"/>
    <d v="2023-04-13T00:00:00"/>
  </r>
  <r>
    <n v="2497431"/>
    <m/>
    <x v="0"/>
    <x v="2"/>
    <s v="Phone Service"/>
    <s v="Diego"/>
    <x v="1"/>
    <s v="Corporate Tools"/>
    <s v="note"/>
    <s v="Customer"/>
    <x v="2"/>
    <x v="4"/>
    <m/>
    <m/>
    <d v="2023-11-22T00:00:00"/>
    <x v="9"/>
    <x v="2"/>
    <d v="2023-02-22T00:00:00"/>
    <d v="2023-10-05T00:00:00"/>
  </r>
  <r>
    <n v="2094634"/>
    <m/>
    <x v="0"/>
    <x v="1"/>
    <s v="Phone Service"/>
    <s v="Diego"/>
    <x v="2"/>
    <s v="Corporate Tools"/>
    <s v="note"/>
    <s v="Customer"/>
    <x v="3"/>
    <x v="4"/>
    <m/>
    <m/>
    <d v="2023-01-24T00:00:00"/>
    <x v="0"/>
    <x v="0"/>
    <d v="2023-05-23T00:00:00"/>
    <d v="2023-11-22T00:00:00"/>
  </r>
  <r>
    <n v="2993968"/>
    <m/>
    <x v="1"/>
    <x v="0"/>
    <s v="Phone Service"/>
    <s v="Diego"/>
    <x v="2"/>
    <s v="Corporate Tools"/>
    <s v="note"/>
    <s v="Customer"/>
    <x v="1"/>
    <x v="15"/>
    <m/>
    <m/>
    <d v="2023-03-17T00:00:00"/>
    <x v="7"/>
    <x v="0"/>
    <d v="2023-12-12T00:00:00"/>
    <d v="2023-10-31T00:00:00"/>
  </r>
  <r>
    <n v="2229770"/>
    <m/>
    <x v="1"/>
    <x v="2"/>
    <s v="Phone Service"/>
    <s v="Diego"/>
    <x v="1"/>
    <s v="Corporate Tools"/>
    <s v="note"/>
    <s v="Customer"/>
    <x v="3"/>
    <x v="7"/>
    <m/>
    <m/>
    <d v="2023-09-24T00:00:00"/>
    <x v="1"/>
    <x v="1"/>
    <d v="2023-07-20T00:00:00"/>
    <d v="2023-12-07T00:00:00"/>
  </r>
  <r>
    <n v="2089982"/>
    <m/>
    <x v="1"/>
    <x v="0"/>
    <s v="Phone Service"/>
    <s v="Diego"/>
    <x v="2"/>
    <s v="Corporate Tools"/>
    <s v="note"/>
    <s v="Customer"/>
    <x v="1"/>
    <x v="6"/>
    <m/>
    <m/>
    <d v="2023-07-08T00:00:00"/>
    <x v="2"/>
    <x v="1"/>
    <d v="2023-01-17T00:00:00"/>
    <d v="2023-01-21T00:00:00"/>
  </r>
  <r>
    <n v="2347724"/>
    <m/>
    <x v="0"/>
    <x v="1"/>
    <s v="Phone Service"/>
    <s v="Diego"/>
    <x v="0"/>
    <s v="Corporate Tools"/>
    <s v="note"/>
    <s v="Customer"/>
    <x v="1"/>
    <x v="9"/>
    <m/>
    <m/>
    <d v="2023-07-01T00:00:00"/>
    <x v="2"/>
    <x v="1"/>
    <d v="2023-07-15T00:00:00"/>
    <d v="2023-03-25T00:00:00"/>
  </r>
  <r>
    <n v="2512020"/>
    <m/>
    <x v="0"/>
    <x v="0"/>
    <s v="Phone Service"/>
    <s v="Diego"/>
    <x v="1"/>
    <s v="Corporate Tools"/>
    <s v="note"/>
    <s v="Customer"/>
    <x v="2"/>
    <x v="8"/>
    <m/>
    <m/>
    <d v="2023-03-28T00:00:00"/>
    <x v="7"/>
    <x v="0"/>
    <d v="2023-11-13T00:00:00"/>
    <d v="2023-02-27T00:00:00"/>
  </r>
  <r>
    <n v="2356463"/>
    <m/>
    <x v="2"/>
    <x v="1"/>
    <s v="Phone Service"/>
    <s v="Diego"/>
    <x v="3"/>
    <s v="Corporate Tools"/>
    <s v="note"/>
    <s v="Customer"/>
    <x v="3"/>
    <x v="15"/>
    <m/>
    <m/>
    <d v="2023-01-02T00:00:00"/>
    <x v="0"/>
    <x v="0"/>
    <d v="2023-11-07T00:00:00"/>
    <d v="2023-02-02T00:00:00"/>
  </r>
  <r>
    <n v="2302374"/>
    <m/>
    <x v="2"/>
    <x v="1"/>
    <s v="Phone Service"/>
    <s v="Diego"/>
    <x v="0"/>
    <s v="Corporate Tools"/>
    <s v="note"/>
    <s v="Customer"/>
    <x v="0"/>
    <x v="13"/>
    <m/>
    <m/>
    <d v="2023-11-03T00:00:00"/>
    <x v="9"/>
    <x v="2"/>
    <d v="2023-09-22T00:00:00"/>
    <d v="2023-08-03T00:00:00"/>
  </r>
  <r>
    <n v="2704981"/>
    <m/>
    <x v="1"/>
    <x v="2"/>
    <s v="Phone Service"/>
    <s v="Diego"/>
    <x v="1"/>
    <s v="Corporate Tools"/>
    <s v="note"/>
    <s v="Customer"/>
    <x v="3"/>
    <x v="14"/>
    <m/>
    <m/>
    <d v="2023-04-15T00:00:00"/>
    <x v="5"/>
    <x v="3"/>
    <d v="2023-11-17T00:00:00"/>
    <d v="2023-07-22T00:00:00"/>
  </r>
  <r>
    <n v="2590173"/>
    <m/>
    <x v="2"/>
    <x v="2"/>
    <s v="Phone Service"/>
    <s v="Diego"/>
    <x v="3"/>
    <s v="Corporate Tools"/>
    <s v="note"/>
    <s v="Customer"/>
    <x v="0"/>
    <x v="7"/>
    <m/>
    <m/>
    <d v="2023-03-22T00:00:00"/>
    <x v="7"/>
    <x v="0"/>
    <d v="2023-11-01T00:00:00"/>
    <d v="2023-08-10T00:00:00"/>
  </r>
  <r>
    <n v="2918984"/>
    <m/>
    <x v="1"/>
    <x v="1"/>
    <s v="Phone Service"/>
    <s v="Diego"/>
    <x v="1"/>
    <s v="Corporate Tools"/>
    <s v="note"/>
    <s v="Customer"/>
    <x v="0"/>
    <x v="12"/>
    <m/>
    <m/>
    <d v="2023-06-24T00:00:00"/>
    <x v="6"/>
    <x v="3"/>
    <d v="2023-09-12T00:00:00"/>
    <d v="2023-01-24T00:00:00"/>
  </r>
  <r>
    <n v="2500495"/>
    <m/>
    <x v="2"/>
    <x v="1"/>
    <s v="Phone Service"/>
    <s v="Diego"/>
    <x v="3"/>
    <s v="Corporate Tools"/>
    <s v="note"/>
    <s v="Customer"/>
    <x v="0"/>
    <x v="14"/>
    <m/>
    <m/>
    <d v="2023-11-11T00:00:00"/>
    <x v="9"/>
    <x v="2"/>
    <d v="2023-02-28T00:00:00"/>
    <d v="2023-03-22T00:00:00"/>
  </r>
  <r>
    <n v="2956910"/>
    <m/>
    <x v="1"/>
    <x v="2"/>
    <s v="Phone Service"/>
    <s v="Diego"/>
    <x v="1"/>
    <s v="Corporate Tools"/>
    <s v="note"/>
    <s v="Customer"/>
    <x v="3"/>
    <x v="7"/>
    <m/>
    <m/>
    <d v="2023-08-06T00:00:00"/>
    <x v="8"/>
    <x v="1"/>
    <d v="2023-01-31T00:00:00"/>
    <d v="2023-08-17T00:00:00"/>
  </r>
  <r>
    <n v="2815762"/>
    <m/>
    <x v="0"/>
    <x v="2"/>
    <s v="Phone Service"/>
    <s v="Diego"/>
    <x v="3"/>
    <s v="Corporate Tools"/>
    <s v="note"/>
    <s v="Customer"/>
    <x v="1"/>
    <x v="10"/>
    <m/>
    <m/>
    <d v="2023-10-05T00:00:00"/>
    <x v="3"/>
    <x v="2"/>
    <d v="2023-10-12T00:00:00"/>
    <d v="2023-05-26T00:00:00"/>
  </r>
  <r>
    <n v="2516490"/>
    <m/>
    <x v="2"/>
    <x v="0"/>
    <s v="Phone Service"/>
    <s v="Diego"/>
    <x v="3"/>
    <s v="Corporate Tools"/>
    <s v="note"/>
    <s v="Customer"/>
    <x v="3"/>
    <x v="5"/>
    <m/>
    <m/>
    <d v="2023-07-18T00:00:00"/>
    <x v="2"/>
    <x v="1"/>
    <d v="2023-08-08T00:00:00"/>
    <d v="2023-02-23T00:00:00"/>
  </r>
  <r>
    <n v="2490304"/>
    <m/>
    <x v="0"/>
    <x v="0"/>
    <s v="Phone Service"/>
    <s v="Diego"/>
    <x v="3"/>
    <s v="Corporate Tools"/>
    <s v="note"/>
    <s v="Customer"/>
    <x v="3"/>
    <x v="9"/>
    <m/>
    <m/>
    <d v="2023-08-04T00:00:00"/>
    <x v="8"/>
    <x v="1"/>
    <d v="2023-01-03T00:00:00"/>
    <d v="2023-08-11T00:00:00"/>
  </r>
  <r>
    <n v="2050727"/>
    <m/>
    <x v="0"/>
    <x v="2"/>
    <s v="Phone Service"/>
    <s v="Diego"/>
    <x v="3"/>
    <s v="Corporate Tools"/>
    <s v="note"/>
    <s v="Customer"/>
    <x v="1"/>
    <x v="15"/>
    <m/>
    <m/>
    <d v="2023-03-11T00:00:00"/>
    <x v="7"/>
    <x v="0"/>
    <d v="2023-06-18T00:00:00"/>
    <d v="2023-10-04T00:00:00"/>
  </r>
  <r>
    <n v="2181403"/>
    <m/>
    <x v="1"/>
    <x v="2"/>
    <s v="Phone Service"/>
    <s v="Diego"/>
    <x v="0"/>
    <s v="Corporate Tools"/>
    <s v="note"/>
    <s v="Customer"/>
    <x v="1"/>
    <x v="5"/>
    <m/>
    <m/>
    <d v="2023-05-20T00:00:00"/>
    <x v="4"/>
    <x v="3"/>
    <d v="2023-11-04T00:00:00"/>
    <d v="2023-05-03T00:00:00"/>
  </r>
  <r>
    <n v="2159106"/>
    <m/>
    <x v="2"/>
    <x v="2"/>
    <s v="Phone Service"/>
    <s v="Diego"/>
    <x v="2"/>
    <s v="Corporate Tools"/>
    <s v="note"/>
    <s v="Customer"/>
    <x v="1"/>
    <x v="9"/>
    <m/>
    <m/>
    <d v="2023-07-11T00:00:00"/>
    <x v="2"/>
    <x v="1"/>
    <d v="2023-07-05T00:00:00"/>
    <d v="2023-05-28T00:00:00"/>
  </r>
  <r>
    <n v="2499331"/>
    <m/>
    <x v="0"/>
    <x v="2"/>
    <s v="Phone Service"/>
    <s v="Diego"/>
    <x v="0"/>
    <s v="Corporate Tools"/>
    <s v="note"/>
    <s v="Customer"/>
    <x v="1"/>
    <x v="0"/>
    <m/>
    <m/>
    <d v="2023-09-13T00:00:00"/>
    <x v="1"/>
    <x v="1"/>
    <d v="2023-01-24T00:00:00"/>
    <d v="2023-03-27T00:00:00"/>
  </r>
  <r>
    <n v="2737589"/>
    <m/>
    <x v="0"/>
    <x v="0"/>
    <s v="Phone Service"/>
    <s v="Diego"/>
    <x v="3"/>
    <s v="Corporate Tools"/>
    <s v="note"/>
    <s v="Customer"/>
    <x v="0"/>
    <x v="6"/>
    <m/>
    <m/>
    <d v="2023-06-27T00:00:00"/>
    <x v="6"/>
    <x v="3"/>
    <d v="2023-04-16T00:00:00"/>
    <d v="2023-05-17T00:00:00"/>
  </r>
  <r>
    <n v="2342713"/>
    <m/>
    <x v="1"/>
    <x v="1"/>
    <s v="Phone Service"/>
    <s v="Diego"/>
    <x v="2"/>
    <s v="Corporate Tools"/>
    <s v="note"/>
    <s v="Customer"/>
    <x v="0"/>
    <x v="9"/>
    <m/>
    <m/>
    <d v="2023-04-08T00:00:00"/>
    <x v="5"/>
    <x v="3"/>
    <d v="2023-08-03T00:00:00"/>
    <d v="2023-02-26T00:00:00"/>
  </r>
  <r>
    <n v="2616707"/>
    <m/>
    <x v="2"/>
    <x v="1"/>
    <s v="Phone Service"/>
    <s v="Diego"/>
    <x v="1"/>
    <s v="Corporate Tools"/>
    <s v="note"/>
    <s v="Customer"/>
    <x v="3"/>
    <x v="2"/>
    <m/>
    <m/>
    <d v="2023-02-04T00:00:00"/>
    <x v="11"/>
    <x v="0"/>
    <d v="2023-06-20T00:00:00"/>
    <d v="2023-09-04T00:00:00"/>
  </r>
  <r>
    <n v="2865924"/>
    <m/>
    <x v="1"/>
    <x v="0"/>
    <s v="Phone Service"/>
    <s v="Diego"/>
    <x v="0"/>
    <s v="Corporate Tools"/>
    <s v="note"/>
    <s v="Customer"/>
    <x v="3"/>
    <x v="0"/>
    <m/>
    <m/>
    <d v="2023-07-01T00:00:00"/>
    <x v="2"/>
    <x v="1"/>
    <d v="2023-06-29T00:00:00"/>
    <d v="2023-08-13T00:00:00"/>
  </r>
  <r>
    <n v="2348965"/>
    <m/>
    <x v="2"/>
    <x v="0"/>
    <s v="Phone Service"/>
    <s v="Diego"/>
    <x v="3"/>
    <s v="Corporate Tools"/>
    <s v="note"/>
    <s v="Customer"/>
    <x v="3"/>
    <x v="4"/>
    <m/>
    <m/>
    <d v="2023-11-11T00:00:00"/>
    <x v="9"/>
    <x v="2"/>
    <d v="2023-02-28T00:00:00"/>
    <d v="2023-06-25T00:00:00"/>
  </r>
  <r>
    <n v="2320916"/>
    <m/>
    <x v="1"/>
    <x v="2"/>
    <s v="Phone Service"/>
    <s v="Diego"/>
    <x v="2"/>
    <s v="Corporate Tools"/>
    <s v="note"/>
    <s v="Customer"/>
    <x v="0"/>
    <x v="2"/>
    <m/>
    <m/>
    <d v="2023-09-12T00:00:00"/>
    <x v="1"/>
    <x v="1"/>
    <d v="2024-01-07T00:00:00"/>
    <d v="2023-05-01T00:00:00"/>
  </r>
  <r>
    <n v="2908596"/>
    <m/>
    <x v="2"/>
    <x v="0"/>
    <s v="Phone Service"/>
    <s v="Diego"/>
    <x v="3"/>
    <s v="Corporate Tools"/>
    <s v="note"/>
    <s v="Customer"/>
    <x v="3"/>
    <x v="3"/>
    <m/>
    <m/>
    <d v="2023-09-19T00:00:00"/>
    <x v="1"/>
    <x v="1"/>
    <d v="2023-10-05T00:00:00"/>
    <d v="2023-03-29T00:00:00"/>
  </r>
  <r>
    <n v="2906229"/>
    <m/>
    <x v="1"/>
    <x v="0"/>
    <s v="Phone Service"/>
    <s v="Diego"/>
    <x v="1"/>
    <s v="Corporate Tools"/>
    <s v="note"/>
    <s v="Customer"/>
    <x v="1"/>
    <x v="1"/>
    <m/>
    <m/>
    <d v="2023-01-13T00:00:00"/>
    <x v="0"/>
    <x v="0"/>
    <d v="2023-04-09T00:00:00"/>
    <d v="2023-01-23T00:00:00"/>
  </r>
  <r>
    <n v="2732651"/>
    <m/>
    <x v="2"/>
    <x v="0"/>
    <s v="Phone Service"/>
    <s v="Diego"/>
    <x v="2"/>
    <s v="Corporate Tools"/>
    <s v="note"/>
    <s v="Customer"/>
    <x v="1"/>
    <x v="10"/>
    <m/>
    <m/>
    <d v="2023-04-02T00:00:00"/>
    <x v="5"/>
    <x v="3"/>
    <d v="2023-09-29T00:00:00"/>
    <d v="2023-01-31T00:00:00"/>
  </r>
  <r>
    <n v="2637887"/>
    <m/>
    <x v="1"/>
    <x v="1"/>
    <s v="Phone Service"/>
    <s v="Diego"/>
    <x v="1"/>
    <s v="Corporate Tools"/>
    <s v="note"/>
    <s v="Customer"/>
    <x v="2"/>
    <x v="11"/>
    <m/>
    <m/>
    <d v="2023-10-22T00:00:00"/>
    <x v="3"/>
    <x v="2"/>
    <d v="2023-07-13T00:00:00"/>
    <d v="2023-07-09T00:00:00"/>
  </r>
  <r>
    <n v="2665040"/>
    <m/>
    <x v="0"/>
    <x v="2"/>
    <s v="Phone Service"/>
    <s v="Diego"/>
    <x v="0"/>
    <s v="Corporate Tools"/>
    <s v="note"/>
    <s v="Customer"/>
    <x v="0"/>
    <x v="4"/>
    <m/>
    <m/>
    <d v="2023-04-09T00:00:00"/>
    <x v="5"/>
    <x v="3"/>
    <d v="2023-06-26T00:00:00"/>
    <d v="2023-10-09T00:00:00"/>
  </r>
  <r>
    <n v="2764586"/>
    <m/>
    <x v="0"/>
    <x v="2"/>
    <s v="Phone Service"/>
    <s v="Diego"/>
    <x v="2"/>
    <s v="Corporate Tools"/>
    <s v="note"/>
    <s v="Customer"/>
    <x v="0"/>
    <x v="14"/>
    <m/>
    <m/>
    <d v="2023-09-03T00:00:00"/>
    <x v="1"/>
    <x v="1"/>
    <d v="2023-04-14T00:00:00"/>
    <d v="2023-12-12T00:00:00"/>
  </r>
  <r>
    <n v="2251973"/>
    <m/>
    <x v="2"/>
    <x v="2"/>
    <s v="Phone Service"/>
    <s v="Diego"/>
    <x v="1"/>
    <s v="Corporate Tools"/>
    <s v="note"/>
    <s v="Customer"/>
    <x v="3"/>
    <x v="6"/>
    <m/>
    <m/>
    <d v="2023-09-17T00:00:00"/>
    <x v="1"/>
    <x v="1"/>
    <d v="2023-05-27T00:00:00"/>
    <d v="2023-08-05T00:00:00"/>
  </r>
  <r>
    <n v="2958192"/>
    <m/>
    <x v="0"/>
    <x v="0"/>
    <s v="Phone Service"/>
    <s v="Diego"/>
    <x v="1"/>
    <s v="Corporate Tools"/>
    <s v="note"/>
    <s v="Customer"/>
    <x v="1"/>
    <x v="6"/>
    <m/>
    <m/>
    <d v="2023-12-09T00:00:00"/>
    <x v="10"/>
    <x v="2"/>
    <d v="2023-11-08T00:00:00"/>
    <d v="2023-11-16T00:00:00"/>
  </r>
  <r>
    <n v="2497824"/>
    <m/>
    <x v="1"/>
    <x v="1"/>
    <s v="Phone Service"/>
    <s v="Diego"/>
    <x v="0"/>
    <s v="Corporate Tools"/>
    <s v="note"/>
    <s v="Customer"/>
    <x v="0"/>
    <x v="7"/>
    <m/>
    <m/>
    <d v="2023-10-15T00:00:00"/>
    <x v="3"/>
    <x v="2"/>
    <d v="2023-02-27T00:00:00"/>
    <d v="2023-04-23T00:00:00"/>
  </r>
  <r>
    <n v="2838023"/>
    <m/>
    <x v="0"/>
    <x v="2"/>
    <s v="Phone Service"/>
    <s v="Diego"/>
    <x v="1"/>
    <s v="Corporate Tools"/>
    <s v="note"/>
    <s v="Customer"/>
    <x v="0"/>
    <x v="6"/>
    <m/>
    <m/>
    <d v="2023-05-17T00:00:00"/>
    <x v="4"/>
    <x v="3"/>
    <d v="2023-08-25T00:00:00"/>
    <d v="2023-10-11T00:00:00"/>
  </r>
  <r>
    <n v="2201377"/>
    <m/>
    <x v="2"/>
    <x v="1"/>
    <s v="Phone Service"/>
    <s v="Diego"/>
    <x v="0"/>
    <s v="Corporate Tools"/>
    <s v="note"/>
    <s v="Customer"/>
    <x v="1"/>
    <x v="4"/>
    <m/>
    <m/>
    <d v="2023-01-10T00:00:00"/>
    <x v="0"/>
    <x v="0"/>
    <d v="2023-05-22T00:00:00"/>
    <d v="2023-10-25T00:00:00"/>
  </r>
  <r>
    <n v="2967923"/>
    <m/>
    <x v="2"/>
    <x v="0"/>
    <s v="Phone Service"/>
    <s v="Diego"/>
    <x v="0"/>
    <s v="Corporate Tools"/>
    <s v="note"/>
    <s v="Customer"/>
    <x v="0"/>
    <x v="11"/>
    <m/>
    <m/>
    <d v="2023-03-30T00:00:00"/>
    <x v="7"/>
    <x v="0"/>
    <d v="2023-09-16T00:00:00"/>
    <d v="2023-05-27T00:00:00"/>
  </r>
  <r>
    <n v="2389331"/>
    <m/>
    <x v="0"/>
    <x v="2"/>
    <s v="Phone Service"/>
    <s v="Diego"/>
    <x v="1"/>
    <s v="Corporate Tools"/>
    <s v="note"/>
    <s v="Customer"/>
    <x v="1"/>
    <x v="0"/>
    <m/>
    <m/>
    <d v="2023-04-04T00:00:00"/>
    <x v="5"/>
    <x v="3"/>
    <d v="2023-03-05T00:00:00"/>
    <d v="2023-04-18T00:00:00"/>
  </r>
  <r>
    <n v="2570574"/>
    <m/>
    <x v="1"/>
    <x v="1"/>
    <s v="Phone Service"/>
    <s v="Diego"/>
    <x v="3"/>
    <s v="Corporate Tools"/>
    <s v="note"/>
    <s v="Customer"/>
    <x v="1"/>
    <x v="5"/>
    <m/>
    <m/>
    <d v="2023-07-01T00:00:00"/>
    <x v="2"/>
    <x v="1"/>
    <d v="2023-02-05T00:00:00"/>
    <d v="2023-10-04T00:00:00"/>
  </r>
  <r>
    <n v="2215421"/>
    <m/>
    <x v="1"/>
    <x v="2"/>
    <s v="Phone Service"/>
    <s v="Diego"/>
    <x v="1"/>
    <s v="Corporate Tools"/>
    <s v="note"/>
    <s v="Customer"/>
    <x v="2"/>
    <x v="1"/>
    <m/>
    <m/>
    <d v="2023-08-09T00:00:00"/>
    <x v="8"/>
    <x v="1"/>
    <d v="2023-04-07T00:00:00"/>
    <d v="2023-11-28T00:00:00"/>
  </r>
  <r>
    <n v="2111801"/>
    <m/>
    <x v="1"/>
    <x v="0"/>
    <s v="Phone Service"/>
    <s v="Diego"/>
    <x v="1"/>
    <s v="Corporate Tools"/>
    <s v="note"/>
    <s v="Customer"/>
    <x v="0"/>
    <x v="15"/>
    <m/>
    <m/>
    <d v="2023-05-03T00:00:00"/>
    <x v="4"/>
    <x v="3"/>
    <d v="2023-10-24T00:00:00"/>
    <d v="2023-03-11T00:00:00"/>
  </r>
  <r>
    <n v="2725306"/>
    <m/>
    <x v="1"/>
    <x v="2"/>
    <s v="Phone Service"/>
    <s v="Diego"/>
    <x v="1"/>
    <s v="Corporate Tools"/>
    <s v="note"/>
    <s v="Customer"/>
    <x v="3"/>
    <x v="5"/>
    <m/>
    <m/>
    <d v="2023-04-08T00:00:00"/>
    <x v="5"/>
    <x v="3"/>
    <d v="2023-07-23T00:00:00"/>
    <d v="2023-03-22T00:00:00"/>
  </r>
  <r>
    <n v="2371942"/>
    <m/>
    <x v="1"/>
    <x v="2"/>
    <s v="Phone Service"/>
    <s v="Diego"/>
    <x v="1"/>
    <s v="Corporate Tools"/>
    <s v="note"/>
    <s v="Customer"/>
    <x v="1"/>
    <x v="13"/>
    <m/>
    <m/>
    <d v="2023-07-24T00:00:00"/>
    <x v="2"/>
    <x v="1"/>
    <d v="2023-05-26T00:00:00"/>
    <d v="2023-03-11T00:00:00"/>
  </r>
  <r>
    <n v="2423918"/>
    <m/>
    <x v="1"/>
    <x v="2"/>
    <s v="Phone Service"/>
    <s v="Diego"/>
    <x v="0"/>
    <s v="Corporate Tools"/>
    <s v="note"/>
    <s v="Customer"/>
    <x v="2"/>
    <x v="13"/>
    <m/>
    <m/>
    <d v="2023-10-15T00:00:00"/>
    <x v="3"/>
    <x v="2"/>
    <d v="2023-12-17T00:00:00"/>
    <d v="2023-05-05T00:00:00"/>
  </r>
  <r>
    <n v="2875958"/>
    <m/>
    <x v="0"/>
    <x v="0"/>
    <s v="Phone Service"/>
    <s v="Diego"/>
    <x v="1"/>
    <s v="Corporate Tools"/>
    <s v="note"/>
    <s v="Customer"/>
    <x v="1"/>
    <x v="7"/>
    <m/>
    <m/>
    <d v="2023-11-08T00:00:00"/>
    <x v="9"/>
    <x v="2"/>
    <d v="2023-04-10T00:00:00"/>
    <d v="2023-12-11T00:00:00"/>
  </r>
  <r>
    <n v="2607103"/>
    <m/>
    <x v="1"/>
    <x v="1"/>
    <s v="Phone Service"/>
    <s v="Diego"/>
    <x v="1"/>
    <s v="Corporate Tools"/>
    <s v="note"/>
    <s v="Customer"/>
    <x v="3"/>
    <x v="11"/>
    <m/>
    <m/>
    <d v="2023-02-04T00:00:00"/>
    <x v="11"/>
    <x v="0"/>
    <d v="2023-10-22T00:00:00"/>
    <d v="2023-05-29T00:00:00"/>
  </r>
  <r>
    <n v="2858694"/>
    <m/>
    <x v="0"/>
    <x v="1"/>
    <s v="Phone Service"/>
    <s v="Diego"/>
    <x v="2"/>
    <s v="Corporate Tools"/>
    <s v="note"/>
    <s v="Customer"/>
    <x v="2"/>
    <x v="1"/>
    <m/>
    <m/>
    <d v="2023-12-23T00:00:00"/>
    <x v="10"/>
    <x v="2"/>
    <d v="2023-06-16T00:00:00"/>
    <d v="2023-11-10T00:00:00"/>
  </r>
  <r>
    <n v="2673118"/>
    <m/>
    <x v="0"/>
    <x v="2"/>
    <s v="Phone Service"/>
    <s v="Diego"/>
    <x v="2"/>
    <s v="Corporate Tools"/>
    <s v="note"/>
    <s v="Customer"/>
    <x v="0"/>
    <x v="10"/>
    <m/>
    <m/>
    <d v="2023-04-20T00:00:00"/>
    <x v="5"/>
    <x v="3"/>
    <d v="2023-09-08T00:00:00"/>
    <d v="2023-11-16T00:00:00"/>
  </r>
  <r>
    <n v="2659760"/>
    <m/>
    <x v="0"/>
    <x v="1"/>
    <s v="Phone Service"/>
    <s v="Diego"/>
    <x v="2"/>
    <s v="Corporate Tools"/>
    <s v="note"/>
    <s v="Customer"/>
    <x v="0"/>
    <x v="13"/>
    <m/>
    <m/>
    <d v="2023-04-11T00:00:00"/>
    <x v="5"/>
    <x v="3"/>
    <d v="2023-06-25T00:00:00"/>
    <d v="2023-04-05T00:00:00"/>
  </r>
  <r>
    <n v="2599096"/>
    <m/>
    <x v="1"/>
    <x v="0"/>
    <s v="Phone Service"/>
    <s v="Diego"/>
    <x v="2"/>
    <s v="Corporate Tools"/>
    <s v="note"/>
    <s v="Customer"/>
    <x v="0"/>
    <x v="11"/>
    <m/>
    <m/>
    <d v="2023-10-14T00:00:00"/>
    <x v="3"/>
    <x v="2"/>
    <d v="2023-06-29T00:00:00"/>
    <d v="2023-12-29T00:00:00"/>
  </r>
  <r>
    <n v="2059051"/>
    <m/>
    <x v="0"/>
    <x v="2"/>
    <s v="Phone Service"/>
    <s v="Diego"/>
    <x v="3"/>
    <s v="Corporate Tools"/>
    <s v="note"/>
    <s v="Customer"/>
    <x v="2"/>
    <x v="4"/>
    <m/>
    <m/>
    <d v="2023-03-31T00:00:00"/>
    <x v="7"/>
    <x v="0"/>
    <d v="2023-05-10T00:00:00"/>
    <d v="2023-09-29T00:00:00"/>
  </r>
  <r>
    <n v="2160402"/>
    <m/>
    <x v="0"/>
    <x v="2"/>
    <s v="Phone Service"/>
    <s v="Diego"/>
    <x v="2"/>
    <s v="Corporate Tools"/>
    <s v="note"/>
    <s v="Customer"/>
    <x v="0"/>
    <x v="2"/>
    <m/>
    <m/>
    <d v="2023-10-17T00:00:00"/>
    <x v="3"/>
    <x v="2"/>
    <d v="2023-07-17T00:00:00"/>
    <d v="2023-11-07T00:00:00"/>
  </r>
  <r>
    <n v="2470521"/>
    <m/>
    <x v="0"/>
    <x v="0"/>
    <s v="Phone Service"/>
    <s v="Diego"/>
    <x v="3"/>
    <s v="Corporate Tools"/>
    <s v="note"/>
    <s v="Customer"/>
    <x v="1"/>
    <x v="8"/>
    <m/>
    <m/>
    <d v="2023-07-19T00:00:00"/>
    <x v="2"/>
    <x v="1"/>
    <d v="2023-07-21T00:00:00"/>
    <d v="2023-03-27T00:00:00"/>
  </r>
  <r>
    <n v="2265181"/>
    <m/>
    <x v="2"/>
    <x v="1"/>
    <s v="Phone Service"/>
    <s v="Diego"/>
    <x v="1"/>
    <s v="Corporate Tools"/>
    <s v="note"/>
    <s v="Customer"/>
    <x v="0"/>
    <x v="4"/>
    <m/>
    <m/>
    <d v="2023-09-24T00:00:00"/>
    <x v="1"/>
    <x v="1"/>
    <d v="2023-07-16T00:00:00"/>
    <d v="2023-06-11T00:00:00"/>
  </r>
  <r>
    <n v="2277828"/>
    <m/>
    <x v="1"/>
    <x v="1"/>
    <s v="Phone Service"/>
    <s v="Diego"/>
    <x v="2"/>
    <s v="Corporate Tools"/>
    <s v="note"/>
    <s v="Customer"/>
    <x v="2"/>
    <x v="4"/>
    <m/>
    <m/>
    <d v="2023-01-04T00:00:00"/>
    <x v="0"/>
    <x v="0"/>
    <d v="2023-02-17T00:00:00"/>
    <d v="2023-12-30T00:00:00"/>
  </r>
  <r>
    <n v="2304862"/>
    <m/>
    <x v="2"/>
    <x v="0"/>
    <s v="Phone Service"/>
    <s v="Diego"/>
    <x v="3"/>
    <s v="Corporate Tools"/>
    <s v="note"/>
    <s v="Customer"/>
    <x v="2"/>
    <x v="2"/>
    <m/>
    <m/>
    <d v="2023-08-02T00:00:00"/>
    <x v="8"/>
    <x v="1"/>
    <d v="2023-04-11T00:00:00"/>
    <d v="2023-03-11T00:00:00"/>
  </r>
  <r>
    <n v="2627854"/>
    <m/>
    <x v="1"/>
    <x v="1"/>
    <s v="Phone Service"/>
    <s v="Diego"/>
    <x v="0"/>
    <s v="Corporate Tools"/>
    <s v="note"/>
    <s v="Customer"/>
    <x v="2"/>
    <x v="11"/>
    <m/>
    <m/>
    <d v="2023-08-08T00:00:00"/>
    <x v="8"/>
    <x v="1"/>
    <d v="2023-07-08T00:00:00"/>
    <d v="2023-05-26T00:00:00"/>
  </r>
  <r>
    <n v="2138830"/>
    <m/>
    <x v="0"/>
    <x v="1"/>
    <s v="Phone Service"/>
    <s v="Diego"/>
    <x v="1"/>
    <s v="Corporate Tools"/>
    <s v="note"/>
    <s v="Customer"/>
    <x v="2"/>
    <x v="14"/>
    <m/>
    <m/>
    <d v="2023-05-11T00:00:00"/>
    <x v="4"/>
    <x v="3"/>
    <d v="2023-09-06T00:00:00"/>
    <d v="2023-08-31T00:00:00"/>
  </r>
  <r>
    <n v="2073422"/>
    <m/>
    <x v="1"/>
    <x v="2"/>
    <s v="Phone Service"/>
    <s v="Diego"/>
    <x v="0"/>
    <s v="Corporate Tools"/>
    <s v="note"/>
    <s v="Customer"/>
    <x v="3"/>
    <x v="7"/>
    <m/>
    <m/>
    <d v="2023-05-10T00:00:00"/>
    <x v="4"/>
    <x v="3"/>
    <d v="2023-05-24T00:00:00"/>
    <d v="2023-05-18T00:00:00"/>
  </r>
  <r>
    <n v="2201780"/>
    <m/>
    <x v="1"/>
    <x v="0"/>
    <s v="Phone Service"/>
    <s v="Diego"/>
    <x v="0"/>
    <s v="Corporate Tools"/>
    <s v="note"/>
    <s v="Customer"/>
    <x v="1"/>
    <x v="8"/>
    <m/>
    <m/>
    <d v="2023-05-10T00:00:00"/>
    <x v="4"/>
    <x v="3"/>
    <d v="2023-05-06T00:00:00"/>
    <d v="2023-04-24T00:00:00"/>
  </r>
  <r>
    <n v="2876949"/>
    <m/>
    <x v="0"/>
    <x v="1"/>
    <s v="Phone Service"/>
    <s v="Diego"/>
    <x v="2"/>
    <s v="Corporate Tools"/>
    <s v="note"/>
    <s v="Customer"/>
    <x v="0"/>
    <x v="4"/>
    <m/>
    <m/>
    <d v="2023-12-21T00:00:00"/>
    <x v="10"/>
    <x v="2"/>
    <d v="2023-09-30T00:00:00"/>
    <d v="2023-09-09T00:00:00"/>
  </r>
  <r>
    <n v="2197927"/>
    <m/>
    <x v="0"/>
    <x v="2"/>
    <s v="Phone Service"/>
    <s v="Diego"/>
    <x v="1"/>
    <s v="Corporate Tools"/>
    <s v="note"/>
    <s v="Customer"/>
    <x v="2"/>
    <x v="13"/>
    <m/>
    <m/>
    <d v="2023-08-03T00:00:00"/>
    <x v="8"/>
    <x v="1"/>
    <d v="2023-08-01T00:00:00"/>
    <d v="2023-10-11T00:00:00"/>
  </r>
  <r>
    <n v="2531218"/>
    <m/>
    <x v="1"/>
    <x v="2"/>
    <s v="Phone Service"/>
    <s v="Diego"/>
    <x v="2"/>
    <s v="Corporate Tools"/>
    <s v="note"/>
    <s v="Customer"/>
    <x v="2"/>
    <x v="14"/>
    <m/>
    <m/>
    <d v="2023-08-17T00:00:00"/>
    <x v="8"/>
    <x v="1"/>
    <d v="2023-08-12T00:00:00"/>
    <d v="2023-07-16T00:00:00"/>
  </r>
  <r>
    <n v="2464034"/>
    <m/>
    <x v="0"/>
    <x v="1"/>
    <s v="Phone Service"/>
    <s v="Diego"/>
    <x v="0"/>
    <s v="Corporate Tools"/>
    <s v="note"/>
    <s v="Customer"/>
    <x v="3"/>
    <x v="10"/>
    <m/>
    <m/>
    <d v="2023-11-10T00:00:00"/>
    <x v="9"/>
    <x v="2"/>
    <d v="2023-08-03T00:00:00"/>
    <d v="2023-01-25T00:00:00"/>
  </r>
  <r>
    <n v="2099184"/>
    <m/>
    <x v="0"/>
    <x v="1"/>
    <s v="Phone Service"/>
    <s v="Diego"/>
    <x v="0"/>
    <s v="Corporate Tools"/>
    <s v="note"/>
    <s v="Customer"/>
    <x v="2"/>
    <x v="15"/>
    <m/>
    <m/>
    <d v="2023-11-20T00:00:00"/>
    <x v="9"/>
    <x v="2"/>
    <d v="2023-05-10T00:00:00"/>
    <d v="2023-05-14T00:00:00"/>
  </r>
  <r>
    <n v="2837357"/>
    <m/>
    <x v="2"/>
    <x v="0"/>
    <s v="Phone Service"/>
    <s v="Diego"/>
    <x v="2"/>
    <s v="Corporate Tools"/>
    <s v="note"/>
    <s v="Customer"/>
    <x v="0"/>
    <x v="15"/>
    <m/>
    <m/>
    <d v="2023-02-27T00:00:00"/>
    <x v="11"/>
    <x v="0"/>
    <d v="2023-08-09T00:00:00"/>
    <d v="2023-07-24T00:00:00"/>
  </r>
  <r>
    <n v="2893622"/>
    <m/>
    <x v="2"/>
    <x v="2"/>
    <s v="Phone Service"/>
    <s v="Diego"/>
    <x v="0"/>
    <s v="Corporate Tools"/>
    <s v="note"/>
    <s v="Customer"/>
    <x v="2"/>
    <x v="11"/>
    <m/>
    <m/>
    <d v="2023-12-25T00:00:00"/>
    <x v="10"/>
    <x v="2"/>
    <d v="2023-09-05T00:00:00"/>
    <d v="2023-08-12T00:00:00"/>
  </r>
  <r>
    <n v="2714924"/>
    <m/>
    <x v="2"/>
    <x v="1"/>
    <s v="Phone Service"/>
    <s v="Diego"/>
    <x v="0"/>
    <s v="Corporate Tools"/>
    <s v="note"/>
    <s v="Customer"/>
    <x v="1"/>
    <x v="8"/>
    <m/>
    <m/>
    <d v="2023-08-06T00:00:00"/>
    <x v="8"/>
    <x v="1"/>
    <d v="2023-08-04T00:00:00"/>
    <d v="2023-09-20T00:00:00"/>
  </r>
  <r>
    <n v="2978150"/>
    <m/>
    <x v="0"/>
    <x v="1"/>
    <s v="Phone Service"/>
    <s v="Diego"/>
    <x v="2"/>
    <s v="Corporate Tools"/>
    <s v="note"/>
    <s v="Customer"/>
    <x v="1"/>
    <x v="11"/>
    <m/>
    <m/>
    <d v="2023-12-14T00:00:00"/>
    <x v="10"/>
    <x v="2"/>
    <d v="2023-12-27T00:00:00"/>
    <d v="2023-04-25T00:00:00"/>
  </r>
  <r>
    <n v="2796557"/>
    <m/>
    <x v="2"/>
    <x v="1"/>
    <s v="Phone Service"/>
    <s v="Diego"/>
    <x v="1"/>
    <s v="Corporate Tools"/>
    <s v="note"/>
    <s v="Customer"/>
    <x v="2"/>
    <x v="9"/>
    <m/>
    <m/>
    <d v="2023-04-24T00:00:00"/>
    <x v="5"/>
    <x v="3"/>
    <d v="2023-06-19T00:00:00"/>
    <d v="2023-01-16T00:00:00"/>
  </r>
  <r>
    <n v="2133415"/>
    <m/>
    <x v="2"/>
    <x v="0"/>
    <s v="Phone Service"/>
    <s v="Diego"/>
    <x v="3"/>
    <s v="Corporate Tools"/>
    <s v="note"/>
    <s v="Customer"/>
    <x v="3"/>
    <x v="2"/>
    <m/>
    <m/>
    <d v="2023-08-17T00:00:00"/>
    <x v="8"/>
    <x v="1"/>
    <d v="2023-09-05T00:00:00"/>
    <d v="2023-07-03T00:00:00"/>
  </r>
  <r>
    <n v="2074752"/>
    <m/>
    <x v="1"/>
    <x v="2"/>
    <s v="Phone Service"/>
    <s v="Diego"/>
    <x v="1"/>
    <s v="Corporate Tools"/>
    <s v="note"/>
    <s v="Customer"/>
    <x v="1"/>
    <x v="12"/>
    <m/>
    <m/>
    <d v="2023-09-02T00:00:00"/>
    <x v="1"/>
    <x v="1"/>
    <d v="2023-09-16T00:00:00"/>
    <d v="2023-04-26T00:00:00"/>
  </r>
  <r>
    <n v="2254569"/>
    <m/>
    <x v="0"/>
    <x v="0"/>
    <s v="Phone Service"/>
    <s v="Diego"/>
    <x v="3"/>
    <s v="Corporate Tools"/>
    <s v="note"/>
    <s v="Customer"/>
    <x v="0"/>
    <x v="8"/>
    <m/>
    <m/>
    <d v="2023-03-23T00:00:00"/>
    <x v="7"/>
    <x v="0"/>
    <d v="2023-03-02T00:00:00"/>
    <d v="2023-10-20T00:00:00"/>
  </r>
  <r>
    <n v="2698767"/>
    <m/>
    <x v="2"/>
    <x v="0"/>
    <s v="Phone Service"/>
    <s v="Diego"/>
    <x v="2"/>
    <s v="Corporate Tools"/>
    <s v="note"/>
    <s v="Customer"/>
    <x v="2"/>
    <x v="6"/>
    <m/>
    <m/>
    <d v="2023-07-31T00:00:00"/>
    <x v="2"/>
    <x v="1"/>
    <d v="2023-08-23T00:00:00"/>
    <d v="2023-01-20T00:00:00"/>
  </r>
  <r>
    <n v="2970433"/>
    <m/>
    <x v="2"/>
    <x v="2"/>
    <s v="Phone Service"/>
    <s v="Diego"/>
    <x v="2"/>
    <s v="Corporate Tools"/>
    <s v="note"/>
    <s v="Customer"/>
    <x v="3"/>
    <x v="9"/>
    <m/>
    <m/>
    <d v="2023-10-21T00:00:00"/>
    <x v="3"/>
    <x v="2"/>
    <d v="2023-04-15T00:00:00"/>
    <d v="2023-04-08T00:00:00"/>
  </r>
  <r>
    <n v="2926375"/>
    <m/>
    <x v="0"/>
    <x v="1"/>
    <s v="Phone Service"/>
    <s v="Diego"/>
    <x v="3"/>
    <s v="Corporate Tools"/>
    <s v="note"/>
    <s v="Customer"/>
    <x v="3"/>
    <x v="2"/>
    <m/>
    <m/>
    <d v="2023-03-24T00:00:00"/>
    <x v="7"/>
    <x v="0"/>
    <d v="2023-11-01T00:00:00"/>
    <d v="2023-12-26T00:00:00"/>
  </r>
  <r>
    <n v="2547199"/>
    <m/>
    <x v="2"/>
    <x v="0"/>
    <s v="Phone Service"/>
    <s v="Diego"/>
    <x v="3"/>
    <s v="Corporate Tools"/>
    <s v="note"/>
    <s v="Customer"/>
    <x v="1"/>
    <x v="3"/>
    <m/>
    <m/>
    <d v="2023-08-15T00:00:00"/>
    <x v="8"/>
    <x v="1"/>
    <d v="2023-04-02T00:00:00"/>
    <d v="2023-10-11T00:00:00"/>
  </r>
  <r>
    <n v="2695423"/>
    <m/>
    <x v="1"/>
    <x v="2"/>
    <s v="Phone Service"/>
    <s v="Diego"/>
    <x v="1"/>
    <s v="Corporate Tools"/>
    <s v="note"/>
    <s v="Customer"/>
    <x v="2"/>
    <x v="7"/>
    <m/>
    <m/>
    <d v="2023-02-05T00:00:00"/>
    <x v="11"/>
    <x v="0"/>
    <d v="2023-06-24T00:00:00"/>
    <d v="2023-09-11T00:00:00"/>
  </r>
  <r>
    <n v="2935013"/>
    <m/>
    <x v="2"/>
    <x v="0"/>
    <s v="Phone Service"/>
    <s v="Diego"/>
    <x v="1"/>
    <s v="Corporate Tools"/>
    <s v="note"/>
    <s v="Customer"/>
    <x v="1"/>
    <x v="0"/>
    <m/>
    <m/>
    <d v="2024-01-07T00:00:00"/>
    <x v="0"/>
    <x v="0"/>
    <d v="2023-02-21T00:00:00"/>
    <d v="2023-04-24T00:00:00"/>
  </r>
  <r>
    <n v="2988930"/>
    <m/>
    <x v="2"/>
    <x v="2"/>
    <s v="Phone Service"/>
    <s v="Diego"/>
    <x v="3"/>
    <s v="Corporate Tools"/>
    <s v="note"/>
    <s v="Customer"/>
    <x v="0"/>
    <x v="5"/>
    <m/>
    <m/>
    <d v="2023-03-08T00:00:00"/>
    <x v="7"/>
    <x v="0"/>
    <d v="2023-01-09T00:00:00"/>
    <d v="2023-12-07T00:00:00"/>
  </r>
  <r>
    <n v="2760401"/>
    <m/>
    <x v="2"/>
    <x v="1"/>
    <s v="Phone Service"/>
    <s v="Diego"/>
    <x v="0"/>
    <s v="Corporate Tools"/>
    <s v="note"/>
    <s v="Customer"/>
    <x v="3"/>
    <x v="5"/>
    <m/>
    <m/>
    <d v="2023-10-02T00:00:00"/>
    <x v="3"/>
    <x v="2"/>
    <d v="2023-05-30T00:00:00"/>
    <d v="2023-03-21T00:00:00"/>
  </r>
  <r>
    <n v="2104000"/>
    <m/>
    <x v="1"/>
    <x v="1"/>
    <s v="Phone Service"/>
    <s v="Diego"/>
    <x v="0"/>
    <s v="Corporate Tools"/>
    <s v="note"/>
    <s v="Customer"/>
    <x v="1"/>
    <x v="9"/>
    <m/>
    <m/>
    <d v="2023-08-19T00:00:00"/>
    <x v="8"/>
    <x v="1"/>
    <d v="2023-11-20T00:00:00"/>
    <d v="2023-01-07T00:00:00"/>
  </r>
  <r>
    <n v="2052771"/>
    <m/>
    <x v="1"/>
    <x v="1"/>
    <s v="Phone Service"/>
    <s v="Diego"/>
    <x v="3"/>
    <s v="Corporate Tools"/>
    <s v="note"/>
    <s v="Customer"/>
    <x v="0"/>
    <x v="1"/>
    <m/>
    <m/>
    <d v="2023-05-30T00:00:00"/>
    <x v="4"/>
    <x v="3"/>
    <d v="2023-05-24T00:00:00"/>
    <d v="2023-09-15T00:00:00"/>
  </r>
  <r>
    <n v="2542656"/>
    <m/>
    <x v="1"/>
    <x v="2"/>
    <s v="Phone Service"/>
    <s v="Diego"/>
    <x v="0"/>
    <s v="Corporate Tools"/>
    <s v="note"/>
    <s v="Customer"/>
    <x v="3"/>
    <x v="14"/>
    <m/>
    <m/>
    <d v="2023-08-20T00:00:00"/>
    <x v="8"/>
    <x v="1"/>
    <d v="2023-09-09T00:00:00"/>
    <d v="2023-04-30T00:00:00"/>
  </r>
  <r>
    <n v="2673699"/>
    <m/>
    <x v="0"/>
    <x v="2"/>
    <s v="Phone Service"/>
    <s v="Diego"/>
    <x v="3"/>
    <s v="Corporate Tools"/>
    <s v="note"/>
    <s v="Customer"/>
    <x v="3"/>
    <x v="7"/>
    <m/>
    <m/>
    <d v="2023-11-28T00:00:00"/>
    <x v="9"/>
    <x v="2"/>
    <d v="2023-11-03T00:00:00"/>
    <d v="2023-04-06T00:00:00"/>
  </r>
  <r>
    <n v="2736159"/>
    <m/>
    <x v="2"/>
    <x v="2"/>
    <s v="Phone Service"/>
    <s v="Diego"/>
    <x v="0"/>
    <s v="Corporate Tools"/>
    <s v="note"/>
    <s v="Customer"/>
    <x v="2"/>
    <x v="11"/>
    <m/>
    <m/>
    <d v="2023-09-21T00:00:00"/>
    <x v="1"/>
    <x v="1"/>
    <d v="2023-01-28T00:00:00"/>
    <d v="2023-09-07T00:00:00"/>
  </r>
  <r>
    <n v="2995910"/>
    <m/>
    <x v="1"/>
    <x v="2"/>
    <s v="Phone Service"/>
    <s v="Diego"/>
    <x v="3"/>
    <s v="Corporate Tools"/>
    <s v="note"/>
    <s v="Customer"/>
    <x v="3"/>
    <x v="14"/>
    <m/>
    <m/>
    <d v="2023-10-07T00:00:00"/>
    <x v="3"/>
    <x v="2"/>
    <d v="2023-05-28T00:00:00"/>
    <d v="2023-11-14T00:00:00"/>
  </r>
  <r>
    <n v="2836837"/>
    <m/>
    <x v="1"/>
    <x v="1"/>
    <s v="Phone Service"/>
    <s v="Diego"/>
    <x v="1"/>
    <s v="Corporate Tools"/>
    <s v="note"/>
    <s v="Customer"/>
    <x v="2"/>
    <x v="2"/>
    <m/>
    <m/>
    <d v="2023-01-16T00:00:00"/>
    <x v="0"/>
    <x v="0"/>
    <d v="2023-06-02T00:00:00"/>
    <d v="2023-07-29T00:00:00"/>
  </r>
  <r>
    <n v="2344124"/>
    <m/>
    <x v="0"/>
    <x v="2"/>
    <s v="Phone Service"/>
    <s v="Diego"/>
    <x v="1"/>
    <s v="Corporate Tools"/>
    <s v="note"/>
    <s v="Customer"/>
    <x v="0"/>
    <x v="0"/>
    <m/>
    <m/>
    <d v="2023-08-19T00:00:00"/>
    <x v="8"/>
    <x v="1"/>
    <d v="2023-10-27T00:00:00"/>
    <d v="2023-05-30T00:00:00"/>
  </r>
  <r>
    <n v="2221691"/>
    <m/>
    <x v="2"/>
    <x v="2"/>
    <s v="Phone Service"/>
    <s v="Diego"/>
    <x v="3"/>
    <s v="Corporate Tools"/>
    <s v="note"/>
    <s v="Customer"/>
    <x v="2"/>
    <x v="4"/>
    <m/>
    <m/>
    <d v="2024-01-05T00:00:00"/>
    <x v="0"/>
    <x v="0"/>
    <d v="2023-08-19T00:00:00"/>
    <d v="2023-03-15T00:00:00"/>
  </r>
  <r>
    <n v="2965632"/>
    <m/>
    <x v="0"/>
    <x v="0"/>
    <s v="Phone Service"/>
    <s v="Diego"/>
    <x v="2"/>
    <s v="Corporate Tools"/>
    <s v="note"/>
    <s v="Customer"/>
    <x v="0"/>
    <x v="12"/>
    <m/>
    <m/>
    <d v="2023-01-26T00:00:00"/>
    <x v="0"/>
    <x v="0"/>
    <d v="2023-01-14T00:00:00"/>
    <d v="2023-04-17T00:00:00"/>
  </r>
  <r>
    <n v="2678669"/>
    <m/>
    <x v="0"/>
    <x v="0"/>
    <s v="Phone Service"/>
    <s v="Diego"/>
    <x v="0"/>
    <s v="Corporate Tools"/>
    <s v="note"/>
    <s v="Customer"/>
    <x v="0"/>
    <x v="13"/>
    <m/>
    <m/>
    <d v="2023-04-06T00:00:00"/>
    <x v="5"/>
    <x v="3"/>
    <d v="2023-03-13T00:00:00"/>
    <d v="2023-12-05T00:00:00"/>
  </r>
  <r>
    <n v="2188322"/>
    <m/>
    <x v="0"/>
    <x v="2"/>
    <s v="Phone Service"/>
    <s v="Diego"/>
    <x v="0"/>
    <s v="Corporate Tools"/>
    <s v="note"/>
    <s v="Customer"/>
    <x v="0"/>
    <x v="5"/>
    <m/>
    <m/>
    <d v="2023-01-13T00:00:00"/>
    <x v="0"/>
    <x v="0"/>
    <d v="2023-09-15T00:00:00"/>
    <d v="2023-02-06T00:00:00"/>
  </r>
  <r>
    <n v="2324465"/>
    <m/>
    <x v="0"/>
    <x v="1"/>
    <s v="Phone Service"/>
    <s v="Diego"/>
    <x v="3"/>
    <s v="Corporate Tools"/>
    <s v="note"/>
    <s v="Customer"/>
    <x v="1"/>
    <x v="2"/>
    <m/>
    <m/>
    <d v="2023-01-14T00:00:00"/>
    <x v="0"/>
    <x v="0"/>
    <d v="2023-02-04T00:00:00"/>
    <d v="2023-11-25T00:00:00"/>
  </r>
  <r>
    <n v="2359089"/>
    <m/>
    <x v="0"/>
    <x v="2"/>
    <s v="Phone Service"/>
    <s v="Diego"/>
    <x v="2"/>
    <s v="Corporate Tools"/>
    <s v="note"/>
    <s v="Customer"/>
    <x v="1"/>
    <x v="1"/>
    <m/>
    <m/>
    <d v="2023-06-06T00:00:00"/>
    <x v="6"/>
    <x v="3"/>
    <d v="2023-03-11T00:00:00"/>
    <d v="2023-04-12T00:00:00"/>
  </r>
  <r>
    <n v="2871603"/>
    <m/>
    <x v="0"/>
    <x v="1"/>
    <s v="Phone Service"/>
    <s v="Diego"/>
    <x v="3"/>
    <s v="Corporate Tools"/>
    <s v="note"/>
    <s v="Customer"/>
    <x v="2"/>
    <x v="14"/>
    <m/>
    <m/>
    <d v="2023-10-14T00:00:00"/>
    <x v="3"/>
    <x v="2"/>
    <d v="2023-06-19T00:00:00"/>
    <d v="2023-02-09T00:00:00"/>
  </r>
  <r>
    <n v="2268246"/>
    <m/>
    <x v="1"/>
    <x v="1"/>
    <s v="Phone Service"/>
    <s v="Diego"/>
    <x v="3"/>
    <s v="Corporate Tools"/>
    <s v="note"/>
    <s v="Customer"/>
    <x v="3"/>
    <x v="10"/>
    <m/>
    <m/>
    <d v="2023-06-10T00:00:00"/>
    <x v="6"/>
    <x v="3"/>
    <d v="2023-10-31T00:00:00"/>
    <d v="2023-08-20T00:00:00"/>
  </r>
  <r>
    <n v="2754720"/>
    <m/>
    <x v="2"/>
    <x v="0"/>
    <s v="Phone Service"/>
    <s v="Diego"/>
    <x v="0"/>
    <s v="Corporate Tools"/>
    <s v="note"/>
    <s v="Customer"/>
    <x v="1"/>
    <x v="8"/>
    <m/>
    <m/>
    <d v="2023-11-15T00:00:00"/>
    <x v="9"/>
    <x v="2"/>
    <d v="2023-03-30T00:00:00"/>
    <d v="2023-12-11T00:00:00"/>
  </r>
  <r>
    <n v="2703898"/>
    <m/>
    <x v="1"/>
    <x v="2"/>
    <s v="Phone Service"/>
    <s v="Diego"/>
    <x v="3"/>
    <s v="Corporate Tools"/>
    <s v="note"/>
    <s v="Customer"/>
    <x v="2"/>
    <x v="8"/>
    <m/>
    <m/>
    <d v="2023-08-17T00:00:00"/>
    <x v="8"/>
    <x v="1"/>
    <d v="2023-10-31T00:00:00"/>
    <d v="2023-03-05T00:00:00"/>
  </r>
  <r>
    <n v="2571342"/>
    <m/>
    <x v="2"/>
    <x v="0"/>
    <s v="Phone Service"/>
    <s v="Diego"/>
    <x v="0"/>
    <s v="Corporate Tools"/>
    <s v="note"/>
    <s v="Customer"/>
    <x v="2"/>
    <x v="8"/>
    <m/>
    <m/>
    <d v="2023-12-13T00:00:00"/>
    <x v="10"/>
    <x v="2"/>
    <d v="2024-01-05T00:00:00"/>
    <d v="2023-10-18T00:00:00"/>
  </r>
  <r>
    <n v="2642438"/>
    <m/>
    <x v="0"/>
    <x v="2"/>
    <s v="Phone Service"/>
    <s v="Diego"/>
    <x v="3"/>
    <s v="Corporate Tools"/>
    <s v="note"/>
    <s v="Customer"/>
    <x v="3"/>
    <x v="14"/>
    <m/>
    <m/>
    <d v="2023-12-08T00:00:00"/>
    <x v="10"/>
    <x v="2"/>
    <d v="2023-06-25T00:00:00"/>
    <d v="2023-06-03T00:00:00"/>
  </r>
  <r>
    <n v="2315985"/>
    <m/>
    <x v="0"/>
    <x v="2"/>
    <s v="Phone Service"/>
    <s v="Diego"/>
    <x v="0"/>
    <s v="Corporate Tools"/>
    <s v="note"/>
    <s v="Customer"/>
    <x v="1"/>
    <x v="13"/>
    <m/>
    <m/>
    <d v="2023-02-01T00:00:00"/>
    <x v="11"/>
    <x v="0"/>
    <d v="2023-03-04T00:00:00"/>
    <d v="2023-07-16T00:00:00"/>
  </r>
  <r>
    <n v="2891353"/>
    <m/>
    <x v="1"/>
    <x v="1"/>
    <s v="Phone Service"/>
    <s v="Diego"/>
    <x v="2"/>
    <s v="Corporate Tools"/>
    <s v="note"/>
    <s v="Customer"/>
    <x v="0"/>
    <x v="13"/>
    <m/>
    <m/>
    <d v="2023-03-15T00:00:00"/>
    <x v="7"/>
    <x v="0"/>
    <d v="2023-04-01T00:00:00"/>
    <d v="2023-08-25T00:00:00"/>
  </r>
  <r>
    <n v="2229409"/>
    <m/>
    <x v="2"/>
    <x v="1"/>
    <s v="Phone Service"/>
    <s v="Diego"/>
    <x v="0"/>
    <s v="Corporate Tools"/>
    <s v="note"/>
    <s v="Customer"/>
    <x v="0"/>
    <x v="4"/>
    <m/>
    <m/>
    <d v="2023-07-03T00:00:00"/>
    <x v="2"/>
    <x v="1"/>
    <d v="2023-05-31T00:00:00"/>
    <d v="2023-01-01T00:00:00"/>
  </r>
  <r>
    <n v="2691182"/>
    <m/>
    <x v="1"/>
    <x v="1"/>
    <s v="Phone Service"/>
    <s v="Diego"/>
    <x v="2"/>
    <s v="Corporate Tools"/>
    <s v="note"/>
    <s v="Customer"/>
    <x v="3"/>
    <x v="11"/>
    <m/>
    <m/>
    <d v="2023-06-30T00:00:00"/>
    <x v="6"/>
    <x v="3"/>
    <d v="2023-08-14T00:00:00"/>
    <d v="2023-01-04T00:00:00"/>
  </r>
  <r>
    <n v="2090826"/>
    <m/>
    <x v="2"/>
    <x v="1"/>
    <s v="Phone Service"/>
    <s v="Diego"/>
    <x v="0"/>
    <s v="Corporate Tools"/>
    <s v="note"/>
    <s v="Customer"/>
    <x v="0"/>
    <x v="4"/>
    <m/>
    <m/>
    <d v="2023-09-03T00:00:00"/>
    <x v="1"/>
    <x v="1"/>
    <d v="2024-01-01T00:00:00"/>
    <d v="2023-06-24T00:00:00"/>
  </r>
  <r>
    <n v="2372175"/>
    <m/>
    <x v="0"/>
    <x v="0"/>
    <s v="Phone Service"/>
    <s v="Diego"/>
    <x v="2"/>
    <s v="Corporate Tools"/>
    <s v="note"/>
    <s v="Customer"/>
    <x v="3"/>
    <x v="8"/>
    <m/>
    <m/>
    <d v="2023-04-22T00:00:00"/>
    <x v="5"/>
    <x v="3"/>
    <d v="2023-08-03T00:00:00"/>
    <d v="2023-06-07T00:00:00"/>
  </r>
  <r>
    <n v="2328816"/>
    <m/>
    <x v="1"/>
    <x v="0"/>
    <s v="Phone Service"/>
    <s v="Diego"/>
    <x v="2"/>
    <s v="Corporate Tools"/>
    <s v="note"/>
    <s v="Customer"/>
    <x v="3"/>
    <x v="4"/>
    <m/>
    <m/>
    <d v="2023-05-15T00:00:00"/>
    <x v="4"/>
    <x v="3"/>
    <d v="2023-05-25T00:00:00"/>
    <d v="2023-12-31T00:00:00"/>
  </r>
  <r>
    <n v="2680506"/>
    <m/>
    <x v="2"/>
    <x v="2"/>
    <s v="Phone Service"/>
    <s v="Diego"/>
    <x v="0"/>
    <s v="Corporate Tools"/>
    <s v="note"/>
    <s v="Customer"/>
    <x v="1"/>
    <x v="9"/>
    <m/>
    <m/>
    <d v="2023-08-23T00:00:00"/>
    <x v="8"/>
    <x v="1"/>
    <d v="2023-11-22T00:00:00"/>
    <d v="2024-01-04T00:00:00"/>
  </r>
  <r>
    <n v="2151052"/>
    <m/>
    <x v="2"/>
    <x v="2"/>
    <s v="Phone Service"/>
    <s v="Diego"/>
    <x v="2"/>
    <s v="Corporate Tools"/>
    <s v="note"/>
    <s v="Customer"/>
    <x v="1"/>
    <x v="10"/>
    <m/>
    <m/>
    <d v="2023-05-22T00:00:00"/>
    <x v="4"/>
    <x v="3"/>
    <d v="2023-09-19T00:00:00"/>
    <d v="2023-01-02T00:00:00"/>
  </r>
  <r>
    <n v="2268215"/>
    <m/>
    <x v="2"/>
    <x v="2"/>
    <s v="Phone Service"/>
    <s v="Diego"/>
    <x v="0"/>
    <s v="Corporate Tools"/>
    <s v="note"/>
    <s v="Customer"/>
    <x v="2"/>
    <x v="7"/>
    <m/>
    <m/>
    <d v="2023-12-08T00:00:00"/>
    <x v="10"/>
    <x v="2"/>
    <d v="2023-11-28T00:00:00"/>
    <d v="2023-02-15T00:00:00"/>
  </r>
  <r>
    <n v="2792255"/>
    <m/>
    <x v="0"/>
    <x v="1"/>
    <s v="Phone Service"/>
    <s v="Diego"/>
    <x v="3"/>
    <s v="Corporate Tools"/>
    <s v="note"/>
    <s v="Customer"/>
    <x v="1"/>
    <x v="9"/>
    <m/>
    <m/>
    <d v="2023-08-23T00:00:00"/>
    <x v="8"/>
    <x v="1"/>
    <d v="2023-02-28T00:00:00"/>
    <d v="2023-11-25T00:00:00"/>
  </r>
  <r>
    <n v="2570371"/>
    <m/>
    <x v="1"/>
    <x v="0"/>
    <s v="Phone Service"/>
    <s v="Diego"/>
    <x v="0"/>
    <s v="Corporate Tools"/>
    <s v="note"/>
    <s v="Customer"/>
    <x v="1"/>
    <x v="13"/>
    <m/>
    <m/>
    <d v="2023-10-29T00:00:00"/>
    <x v="3"/>
    <x v="2"/>
    <d v="2023-01-21T00:00:00"/>
    <d v="2023-06-18T00:00:00"/>
  </r>
  <r>
    <n v="2340314"/>
    <m/>
    <x v="2"/>
    <x v="0"/>
    <s v="Phone Service"/>
    <s v="Diego"/>
    <x v="3"/>
    <s v="Corporate Tools"/>
    <s v="note"/>
    <s v="Customer"/>
    <x v="3"/>
    <x v="7"/>
    <m/>
    <m/>
    <d v="2023-03-01T00:00:00"/>
    <x v="7"/>
    <x v="0"/>
    <d v="2023-06-02T00:00:00"/>
    <d v="2023-08-28T00:00:00"/>
  </r>
  <r>
    <n v="2811663"/>
    <m/>
    <x v="0"/>
    <x v="1"/>
    <s v="Phone Service"/>
    <s v="Diego"/>
    <x v="3"/>
    <s v="Corporate Tools"/>
    <s v="note"/>
    <s v="Customer"/>
    <x v="3"/>
    <x v="9"/>
    <m/>
    <m/>
    <d v="2023-08-24T00:00:00"/>
    <x v="8"/>
    <x v="1"/>
    <d v="2023-10-01T00:00:00"/>
    <d v="2023-01-09T00:00:00"/>
  </r>
  <r>
    <n v="2836257"/>
    <m/>
    <x v="1"/>
    <x v="1"/>
    <s v="Phone Service"/>
    <s v="Diego"/>
    <x v="0"/>
    <s v="Corporate Tools"/>
    <s v="note"/>
    <s v="Customer"/>
    <x v="2"/>
    <x v="12"/>
    <m/>
    <m/>
    <d v="2023-04-17T00:00:00"/>
    <x v="5"/>
    <x v="3"/>
    <d v="2023-07-01T00:00:00"/>
    <d v="2023-02-14T00:00:00"/>
  </r>
  <r>
    <n v="2197683"/>
    <m/>
    <x v="0"/>
    <x v="2"/>
    <s v="Phone Service"/>
    <s v="Diego"/>
    <x v="2"/>
    <s v="Corporate Tools"/>
    <s v="note"/>
    <s v="Customer"/>
    <x v="2"/>
    <x v="9"/>
    <m/>
    <m/>
    <d v="2023-11-14T00:00:00"/>
    <x v="9"/>
    <x v="2"/>
    <d v="2023-08-06T00:00:00"/>
    <d v="2023-02-03T00:00:00"/>
  </r>
  <r>
    <n v="2301557"/>
    <m/>
    <x v="1"/>
    <x v="1"/>
    <s v="Phone Service"/>
    <s v="Diego"/>
    <x v="2"/>
    <s v="Corporate Tools"/>
    <s v="note"/>
    <s v="Customer"/>
    <x v="3"/>
    <x v="15"/>
    <m/>
    <m/>
    <d v="2023-11-30T00:00:00"/>
    <x v="9"/>
    <x v="2"/>
    <d v="2023-07-12T00:00:00"/>
    <d v="2023-06-21T00:00:00"/>
  </r>
  <r>
    <n v="2787704"/>
    <m/>
    <x v="0"/>
    <x v="2"/>
    <s v="Phone Service"/>
    <s v="Diego"/>
    <x v="2"/>
    <s v="Corporate Tools"/>
    <s v="note"/>
    <s v="Customer"/>
    <x v="0"/>
    <x v="3"/>
    <m/>
    <m/>
    <d v="2023-04-16T00:00:00"/>
    <x v="5"/>
    <x v="3"/>
    <d v="2023-11-27T00:00:00"/>
    <d v="2023-12-12T00:00:00"/>
  </r>
  <r>
    <n v="2372942"/>
    <m/>
    <x v="0"/>
    <x v="2"/>
    <s v="Phone Service"/>
    <s v="Diego"/>
    <x v="3"/>
    <s v="Corporate Tools"/>
    <s v="note"/>
    <s v="Customer"/>
    <x v="0"/>
    <x v="1"/>
    <m/>
    <m/>
    <d v="2023-12-11T00:00:00"/>
    <x v="10"/>
    <x v="2"/>
    <d v="2024-01-07T00:00:00"/>
    <d v="2023-12-25T00:00:00"/>
  </r>
  <r>
    <n v="2064703"/>
    <m/>
    <x v="2"/>
    <x v="0"/>
    <s v="Phone Service"/>
    <s v="Diego"/>
    <x v="2"/>
    <s v="Corporate Tools"/>
    <s v="note"/>
    <s v="Customer"/>
    <x v="1"/>
    <x v="1"/>
    <m/>
    <m/>
    <d v="2023-02-26T00:00:00"/>
    <x v="11"/>
    <x v="0"/>
    <d v="2023-08-27T00:00:00"/>
    <d v="2023-05-11T00:00:00"/>
  </r>
  <r>
    <n v="2848788"/>
    <m/>
    <x v="2"/>
    <x v="0"/>
    <s v="Phone Service"/>
    <s v="Diego"/>
    <x v="3"/>
    <s v="Corporate Tools"/>
    <s v="note"/>
    <s v="Customer"/>
    <x v="1"/>
    <x v="8"/>
    <m/>
    <m/>
    <d v="2023-07-10T00:00:00"/>
    <x v="2"/>
    <x v="1"/>
    <d v="2023-02-15T00:00:00"/>
    <d v="2023-05-27T00:00:00"/>
  </r>
  <r>
    <n v="2887295"/>
    <m/>
    <x v="1"/>
    <x v="1"/>
    <s v="Phone Service"/>
    <s v="Diego"/>
    <x v="2"/>
    <s v="Corporate Tools"/>
    <s v="note"/>
    <s v="Customer"/>
    <x v="0"/>
    <x v="3"/>
    <m/>
    <m/>
    <d v="2023-08-11T00:00:00"/>
    <x v="8"/>
    <x v="1"/>
    <d v="2023-03-21T00:00:00"/>
    <d v="2023-04-09T00:00:00"/>
  </r>
  <r>
    <n v="2014199"/>
    <m/>
    <x v="1"/>
    <x v="2"/>
    <s v="Phone Service"/>
    <s v="Diego"/>
    <x v="3"/>
    <s v="Corporate Tools"/>
    <s v="note"/>
    <s v="Customer"/>
    <x v="1"/>
    <x v="7"/>
    <m/>
    <m/>
    <d v="2023-04-23T00:00:00"/>
    <x v="5"/>
    <x v="3"/>
    <d v="2023-04-19T00:00:00"/>
    <d v="2023-05-08T00:00:00"/>
  </r>
  <r>
    <n v="2156710"/>
    <m/>
    <x v="1"/>
    <x v="2"/>
    <s v="Phone Service"/>
    <s v="Diego"/>
    <x v="0"/>
    <s v="Corporate Tools"/>
    <s v="note"/>
    <s v="Customer"/>
    <x v="2"/>
    <x v="15"/>
    <m/>
    <m/>
    <d v="2023-03-03T00:00:00"/>
    <x v="7"/>
    <x v="0"/>
    <d v="2023-12-27T00:00:00"/>
    <d v="2023-02-03T00:00:00"/>
  </r>
  <r>
    <n v="2992876"/>
    <m/>
    <x v="1"/>
    <x v="1"/>
    <s v="Phone Service"/>
    <s v="Diego"/>
    <x v="2"/>
    <s v="Corporate Tools"/>
    <s v="note"/>
    <s v="Customer"/>
    <x v="0"/>
    <x v="11"/>
    <m/>
    <m/>
    <d v="2024-01-07T00:00:00"/>
    <x v="0"/>
    <x v="0"/>
    <d v="2023-02-13T00:00:00"/>
    <d v="2023-01-05T00:00:00"/>
  </r>
  <r>
    <n v="2163260"/>
    <m/>
    <x v="2"/>
    <x v="2"/>
    <s v="Phone Service"/>
    <s v="Diego"/>
    <x v="3"/>
    <s v="Corporate Tools"/>
    <s v="note"/>
    <s v="Customer"/>
    <x v="2"/>
    <x v="3"/>
    <m/>
    <m/>
    <d v="2023-02-16T00:00:00"/>
    <x v="11"/>
    <x v="0"/>
    <d v="2023-09-18T00:00:00"/>
    <d v="2023-01-24T00:00:00"/>
  </r>
  <r>
    <n v="2385186"/>
    <m/>
    <x v="1"/>
    <x v="0"/>
    <s v="Phone Service"/>
    <s v="Diego"/>
    <x v="3"/>
    <s v="Corporate Tools"/>
    <s v="note"/>
    <s v="Customer"/>
    <x v="3"/>
    <x v="7"/>
    <m/>
    <m/>
    <d v="2023-02-21T00:00:00"/>
    <x v="11"/>
    <x v="0"/>
    <d v="2023-12-04T00:00:00"/>
    <d v="2023-04-08T00:00:00"/>
  </r>
  <r>
    <n v="2987353"/>
    <m/>
    <x v="2"/>
    <x v="2"/>
    <s v="Phone Service"/>
    <s v="Diego"/>
    <x v="0"/>
    <s v="Corporate Tools"/>
    <s v="note"/>
    <s v="Customer"/>
    <x v="2"/>
    <x v="14"/>
    <m/>
    <m/>
    <d v="2023-06-06T00:00:00"/>
    <x v="6"/>
    <x v="3"/>
    <d v="2023-01-13T00:00:00"/>
    <d v="2023-11-05T00:00:00"/>
  </r>
  <r>
    <n v="2112049"/>
    <m/>
    <x v="2"/>
    <x v="2"/>
    <s v="Phone Service"/>
    <s v="Diego"/>
    <x v="1"/>
    <s v="Corporate Tools"/>
    <s v="note"/>
    <s v="Customer"/>
    <x v="0"/>
    <x v="2"/>
    <m/>
    <m/>
    <d v="2023-09-08T00:00:00"/>
    <x v="1"/>
    <x v="1"/>
    <d v="2023-10-06T00:00:00"/>
    <d v="2023-02-12T00:00:00"/>
  </r>
  <r>
    <n v="2551960"/>
    <m/>
    <x v="0"/>
    <x v="2"/>
    <s v="Phone Service"/>
    <s v="Diego"/>
    <x v="1"/>
    <s v="Corporate Tools"/>
    <s v="note"/>
    <s v="Customer"/>
    <x v="3"/>
    <x v="5"/>
    <m/>
    <m/>
    <d v="2023-11-17T00:00:00"/>
    <x v="9"/>
    <x v="2"/>
    <d v="2023-10-26T00:00:00"/>
    <d v="2023-11-21T00:00:00"/>
  </r>
  <r>
    <n v="2978615"/>
    <m/>
    <x v="1"/>
    <x v="1"/>
    <s v="Phone Service"/>
    <s v="Diego"/>
    <x v="1"/>
    <s v="Corporate Tools"/>
    <s v="note"/>
    <s v="Customer"/>
    <x v="2"/>
    <x v="12"/>
    <m/>
    <m/>
    <d v="2023-11-20T00:00:00"/>
    <x v="9"/>
    <x v="2"/>
    <d v="2023-04-09T00:00:00"/>
    <d v="2023-11-26T00:00:00"/>
  </r>
  <r>
    <n v="2739040"/>
    <m/>
    <x v="2"/>
    <x v="1"/>
    <s v="Phone Service"/>
    <s v="Diego"/>
    <x v="3"/>
    <s v="Corporate Tools"/>
    <s v="note"/>
    <s v="Customer"/>
    <x v="3"/>
    <x v="8"/>
    <m/>
    <m/>
    <d v="2023-01-15T00:00:00"/>
    <x v="0"/>
    <x v="0"/>
    <d v="2023-05-02T00:00:00"/>
    <d v="2023-01-16T00:00:00"/>
  </r>
  <r>
    <n v="2189333"/>
    <m/>
    <x v="0"/>
    <x v="2"/>
    <s v="Phone Service"/>
    <s v="Diego"/>
    <x v="1"/>
    <s v="Corporate Tools"/>
    <s v="note"/>
    <s v="Customer"/>
    <x v="2"/>
    <x v="15"/>
    <m/>
    <m/>
    <d v="2023-12-27T00:00:00"/>
    <x v="10"/>
    <x v="2"/>
    <d v="2023-06-26T00:00:00"/>
    <d v="2023-07-19T00:00:00"/>
  </r>
  <r>
    <n v="2777754"/>
    <m/>
    <x v="2"/>
    <x v="0"/>
    <s v="Phone Service"/>
    <s v="Diego"/>
    <x v="3"/>
    <s v="Corporate Tools"/>
    <s v="note"/>
    <s v="Customer"/>
    <x v="3"/>
    <x v="12"/>
    <m/>
    <m/>
    <d v="2023-11-22T00:00:00"/>
    <x v="9"/>
    <x v="2"/>
    <d v="2023-07-03T00:00:00"/>
    <d v="2023-09-28T00:00:00"/>
  </r>
  <r>
    <n v="2381326"/>
    <m/>
    <x v="1"/>
    <x v="0"/>
    <s v="Phone Service"/>
    <s v="Diego"/>
    <x v="3"/>
    <s v="Corporate Tools"/>
    <s v="note"/>
    <s v="Customer"/>
    <x v="1"/>
    <x v="2"/>
    <m/>
    <m/>
    <d v="2023-07-11T00:00:00"/>
    <x v="2"/>
    <x v="1"/>
    <d v="2023-10-03T00:00:00"/>
    <d v="2023-12-21T00:00:00"/>
  </r>
  <r>
    <n v="2364014"/>
    <m/>
    <x v="0"/>
    <x v="1"/>
    <s v="Phone Service"/>
    <s v="Diego"/>
    <x v="3"/>
    <s v="Corporate Tools"/>
    <s v="note"/>
    <s v="Customer"/>
    <x v="0"/>
    <x v="8"/>
    <m/>
    <m/>
    <d v="2023-05-19T00:00:00"/>
    <x v="4"/>
    <x v="3"/>
    <d v="2023-01-08T00:00:00"/>
    <d v="2023-05-22T00:00:00"/>
  </r>
  <r>
    <n v="2987818"/>
    <m/>
    <x v="0"/>
    <x v="0"/>
    <s v="Phone Service"/>
    <s v="Diego"/>
    <x v="0"/>
    <s v="Corporate Tools"/>
    <s v="note"/>
    <s v="Customer"/>
    <x v="2"/>
    <x v="1"/>
    <m/>
    <m/>
    <d v="2023-04-07T00:00:00"/>
    <x v="5"/>
    <x v="3"/>
    <d v="2023-01-10T00:00:00"/>
    <d v="2023-06-09T00:00:00"/>
  </r>
  <r>
    <n v="2295961"/>
    <m/>
    <x v="1"/>
    <x v="1"/>
    <s v="Phone Service"/>
    <s v="Diego"/>
    <x v="3"/>
    <s v="Corporate Tools"/>
    <s v="note"/>
    <s v="Customer"/>
    <x v="2"/>
    <x v="15"/>
    <m/>
    <m/>
    <d v="2023-08-07T00:00:00"/>
    <x v="8"/>
    <x v="1"/>
    <d v="2023-06-10T00:00:00"/>
    <d v="2023-08-02T00:00:00"/>
  </r>
  <r>
    <n v="2643169"/>
    <m/>
    <x v="1"/>
    <x v="2"/>
    <s v="Phone Service"/>
    <s v="Diego"/>
    <x v="2"/>
    <s v="Corporate Tools"/>
    <s v="note"/>
    <s v="Customer"/>
    <x v="2"/>
    <x v="1"/>
    <m/>
    <m/>
    <d v="2023-07-13T00:00:00"/>
    <x v="2"/>
    <x v="1"/>
    <d v="2023-05-28T00:00:00"/>
    <d v="2023-03-24T00:00:00"/>
  </r>
  <r>
    <n v="2718695"/>
    <m/>
    <x v="1"/>
    <x v="1"/>
    <s v="Phone Service"/>
    <s v="Diego"/>
    <x v="2"/>
    <s v="Corporate Tools"/>
    <s v="note"/>
    <s v="Customer"/>
    <x v="1"/>
    <x v="2"/>
    <m/>
    <m/>
    <d v="2023-03-08T00:00:00"/>
    <x v="7"/>
    <x v="0"/>
    <d v="2023-08-19T00:00:00"/>
    <d v="2023-08-05T00:00:00"/>
  </r>
  <r>
    <n v="2217400"/>
    <m/>
    <x v="1"/>
    <x v="1"/>
    <s v="Phone Service"/>
    <s v="Diego"/>
    <x v="3"/>
    <s v="Corporate Tools"/>
    <s v="note"/>
    <s v="Customer"/>
    <x v="0"/>
    <x v="6"/>
    <m/>
    <m/>
    <d v="2023-04-04T00:00:00"/>
    <x v="5"/>
    <x v="3"/>
    <d v="2023-12-20T00:00:00"/>
    <d v="2023-08-08T00:00:00"/>
  </r>
  <r>
    <n v="2601371"/>
    <m/>
    <x v="2"/>
    <x v="1"/>
    <s v="Phone Service"/>
    <s v="Diego"/>
    <x v="2"/>
    <s v="Corporate Tools"/>
    <s v="note"/>
    <s v="Customer"/>
    <x v="2"/>
    <x v="4"/>
    <m/>
    <m/>
    <d v="2023-07-18T00:00:00"/>
    <x v="2"/>
    <x v="1"/>
    <d v="2023-04-12T00:00:00"/>
    <d v="2023-01-20T00:00:00"/>
  </r>
  <r>
    <n v="2256532"/>
    <m/>
    <x v="2"/>
    <x v="2"/>
    <s v="Phone Service"/>
    <s v="Diego"/>
    <x v="1"/>
    <s v="Corporate Tools"/>
    <s v="note"/>
    <s v="Customer"/>
    <x v="3"/>
    <x v="15"/>
    <m/>
    <m/>
    <d v="2023-05-20T00:00:00"/>
    <x v="4"/>
    <x v="3"/>
    <d v="2023-11-10T00:00:00"/>
    <d v="2023-04-16T00:00:00"/>
  </r>
  <r>
    <n v="2653803"/>
    <m/>
    <x v="1"/>
    <x v="2"/>
    <s v="Phone Service"/>
    <s v="Diego"/>
    <x v="3"/>
    <s v="Corporate Tools"/>
    <s v="note"/>
    <s v="Customer"/>
    <x v="3"/>
    <x v="5"/>
    <m/>
    <m/>
    <d v="2023-01-23T00:00:00"/>
    <x v="0"/>
    <x v="0"/>
    <d v="2023-01-30T00:00:00"/>
    <d v="2023-08-09T00:00:00"/>
  </r>
  <r>
    <n v="2153152"/>
    <m/>
    <x v="2"/>
    <x v="1"/>
    <s v="Phone Service"/>
    <s v="Diego"/>
    <x v="3"/>
    <s v="Corporate Tools"/>
    <s v="note"/>
    <s v="Customer"/>
    <x v="2"/>
    <x v="5"/>
    <m/>
    <m/>
    <d v="2023-04-22T00:00:00"/>
    <x v="5"/>
    <x v="3"/>
    <d v="2023-04-25T00:00:00"/>
    <d v="2023-04-16T00:00:00"/>
  </r>
  <r>
    <n v="2667347"/>
    <m/>
    <x v="0"/>
    <x v="0"/>
    <s v="Phone Service"/>
    <s v="Diego"/>
    <x v="2"/>
    <s v="Corporate Tools"/>
    <s v="note"/>
    <s v="Customer"/>
    <x v="1"/>
    <x v="8"/>
    <m/>
    <m/>
    <d v="2023-01-26T00:00:00"/>
    <x v="0"/>
    <x v="0"/>
    <d v="2023-01-16T00:00:00"/>
    <d v="2023-08-11T00:00:00"/>
  </r>
  <r>
    <n v="2154185"/>
    <m/>
    <x v="2"/>
    <x v="2"/>
    <s v="Phone Service"/>
    <s v="Diego"/>
    <x v="0"/>
    <s v="Corporate Tools"/>
    <s v="note"/>
    <s v="Customer"/>
    <x v="1"/>
    <x v="2"/>
    <m/>
    <m/>
    <d v="2023-04-30T00:00:00"/>
    <x v="5"/>
    <x v="3"/>
    <d v="2023-08-15T00:00:00"/>
    <d v="2023-11-01T00:00:00"/>
  </r>
  <r>
    <n v="2188162"/>
    <m/>
    <x v="1"/>
    <x v="1"/>
    <s v="Phone Service"/>
    <s v="Diego"/>
    <x v="2"/>
    <s v="Corporate Tools"/>
    <s v="note"/>
    <s v="Customer"/>
    <x v="3"/>
    <x v="15"/>
    <m/>
    <m/>
    <d v="2023-02-17T00:00:00"/>
    <x v="11"/>
    <x v="0"/>
    <d v="2023-12-08T00:00:00"/>
    <d v="2023-06-19T00:00:00"/>
  </r>
  <r>
    <n v="2709066"/>
    <m/>
    <x v="1"/>
    <x v="1"/>
    <s v="Phone Service"/>
    <s v="Diego"/>
    <x v="3"/>
    <s v="Corporate Tools"/>
    <s v="note"/>
    <s v="Customer"/>
    <x v="1"/>
    <x v="12"/>
    <m/>
    <m/>
    <d v="2023-08-08T00:00:00"/>
    <x v="8"/>
    <x v="1"/>
    <d v="2023-05-20T00:00:00"/>
    <d v="2023-05-30T00:00:00"/>
  </r>
  <r>
    <n v="2314110"/>
    <m/>
    <x v="2"/>
    <x v="1"/>
    <s v="Phone Service"/>
    <s v="Diego"/>
    <x v="0"/>
    <s v="Corporate Tools"/>
    <s v="note"/>
    <s v="Customer"/>
    <x v="1"/>
    <x v="8"/>
    <m/>
    <m/>
    <d v="2023-12-07T00:00:00"/>
    <x v="10"/>
    <x v="2"/>
    <d v="2023-09-21T00:00:00"/>
    <d v="2023-11-21T00:00:00"/>
  </r>
  <r>
    <n v="2997950"/>
    <m/>
    <x v="1"/>
    <x v="2"/>
    <s v="Phone Service"/>
    <s v="Diego"/>
    <x v="0"/>
    <s v="Corporate Tools"/>
    <s v="note"/>
    <s v="Customer"/>
    <x v="3"/>
    <x v="14"/>
    <m/>
    <m/>
    <d v="2023-03-10T00:00:00"/>
    <x v="7"/>
    <x v="0"/>
    <d v="2024-01-04T00:00:00"/>
    <d v="2023-09-05T00:00:00"/>
  </r>
  <r>
    <n v="2726475"/>
    <m/>
    <x v="2"/>
    <x v="2"/>
    <s v="Phone Service"/>
    <s v="Diego"/>
    <x v="2"/>
    <s v="Corporate Tools"/>
    <s v="note"/>
    <s v="Customer"/>
    <x v="2"/>
    <x v="1"/>
    <m/>
    <m/>
    <d v="2023-01-18T00:00:00"/>
    <x v="0"/>
    <x v="0"/>
    <d v="2023-10-16T00:00:00"/>
    <d v="2023-02-07T00:00:00"/>
  </r>
  <r>
    <n v="2099265"/>
    <m/>
    <x v="1"/>
    <x v="0"/>
    <s v="Phone Service"/>
    <s v="Diego"/>
    <x v="2"/>
    <s v="Corporate Tools"/>
    <s v="note"/>
    <s v="Customer"/>
    <x v="3"/>
    <x v="6"/>
    <m/>
    <m/>
    <d v="2023-07-11T00:00:00"/>
    <x v="2"/>
    <x v="1"/>
    <d v="2023-03-17T00:00:00"/>
    <d v="2023-11-12T00:00:00"/>
  </r>
  <r>
    <n v="2017345"/>
    <m/>
    <x v="1"/>
    <x v="1"/>
    <s v="Phone Service"/>
    <s v="Diego"/>
    <x v="0"/>
    <s v="Corporate Tools"/>
    <s v="note"/>
    <s v="Customer"/>
    <x v="0"/>
    <x v="9"/>
    <m/>
    <m/>
    <d v="2023-06-20T00:00:00"/>
    <x v="6"/>
    <x v="3"/>
    <d v="2023-01-09T00:00:00"/>
    <d v="2023-08-13T00:00:00"/>
  </r>
  <r>
    <n v="2786317"/>
    <m/>
    <x v="0"/>
    <x v="2"/>
    <s v="Phone Service"/>
    <s v="Diego"/>
    <x v="3"/>
    <s v="Corporate Tools"/>
    <s v="note"/>
    <s v="Customer"/>
    <x v="3"/>
    <x v="4"/>
    <m/>
    <m/>
    <d v="2023-04-29T00:00:00"/>
    <x v="5"/>
    <x v="3"/>
    <d v="2023-06-29T00:00:00"/>
    <d v="2023-08-18T00:00:00"/>
  </r>
  <r>
    <n v="2617168"/>
    <m/>
    <x v="1"/>
    <x v="0"/>
    <s v="Phone Service"/>
    <s v="Diego"/>
    <x v="3"/>
    <s v="Corporate Tools"/>
    <s v="note"/>
    <s v="Customer"/>
    <x v="1"/>
    <x v="11"/>
    <m/>
    <m/>
    <d v="2023-10-13T00:00:00"/>
    <x v="3"/>
    <x v="2"/>
    <d v="2023-10-26T00:00:00"/>
    <d v="2023-10-12T00:00:00"/>
  </r>
  <r>
    <n v="2764616"/>
    <m/>
    <x v="1"/>
    <x v="1"/>
    <s v="Phone Service"/>
    <s v="Diego"/>
    <x v="1"/>
    <s v="Corporate Tools"/>
    <s v="note"/>
    <s v="Customer"/>
    <x v="3"/>
    <x v="15"/>
    <m/>
    <m/>
    <d v="2023-04-23T00:00:00"/>
    <x v="5"/>
    <x v="3"/>
    <d v="2023-12-07T00:00:00"/>
    <d v="2023-07-03T00:00:00"/>
  </r>
  <r>
    <n v="2183997"/>
    <m/>
    <x v="1"/>
    <x v="0"/>
    <s v="Phone Service"/>
    <s v="Diego"/>
    <x v="0"/>
    <s v="Corporate Tools"/>
    <s v="note"/>
    <s v="Customer"/>
    <x v="2"/>
    <x v="5"/>
    <m/>
    <m/>
    <d v="2023-09-22T00:00:00"/>
    <x v="1"/>
    <x v="1"/>
    <d v="2023-05-27T00:00:00"/>
    <d v="2023-07-06T00:00:00"/>
  </r>
  <r>
    <n v="2720487"/>
    <m/>
    <x v="1"/>
    <x v="0"/>
    <s v="Phone Service"/>
    <s v="Diego"/>
    <x v="1"/>
    <s v="Corporate Tools"/>
    <s v="note"/>
    <s v="Customer"/>
    <x v="3"/>
    <x v="13"/>
    <m/>
    <m/>
    <d v="2023-02-18T00:00:00"/>
    <x v="11"/>
    <x v="0"/>
    <d v="2023-06-12T00:00:00"/>
    <d v="2023-07-15T00:00:00"/>
  </r>
  <r>
    <n v="2783621"/>
    <m/>
    <x v="0"/>
    <x v="0"/>
    <s v="Phone Service"/>
    <s v="Diego"/>
    <x v="1"/>
    <s v="Corporate Tools"/>
    <s v="note"/>
    <s v="Customer"/>
    <x v="3"/>
    <x v="9"/>
    <m/>
    <m/>
    <d v="2023-12-02T00:00:00"/>
    <x v="10"/>
    <x v="2"/>
    <d v="2023-11-30T00:00:00"/>
    <d v="2023-07-21T00:00:00"/>
  </r>
  <r>
    <n v="2036081"/>
    <m/>
    <x v="2"/>
    <x v="1"/>
    <s v="Phone Service"/>
    <s v="Diego"/>
    <x v="2"/>
    <s v="Corporate Tools"/>
    <s v="note"/>
    <s v="Customer"/>
    <x v="3"/>
    <x v="12"/>
    <m/>
    <m/>
    <d v="2023-10-25T00:00:00"/>
    <x v="3"/>
    <x v="2"/>
    <d v="2023-02-01T00:00:00"/>
    <d v="2023-02-25T00:00:00"/>
  </r>
  <r>
    <n v="2404570"/>
    <m/>
    <x v="1"/>
    <x v="0"/>
    <s v="Phone Service"/>
    <s v="Diego"/>
    <x v="0"/>
    <s v="Corporate Tools"/>
    <s v="note"/>
    <s v="Customer"/>
    <x v="0"/>
    <x v="1"/>
    <m/>
    <m/>
    <d v="2023-10-16T00:00:00"/>
    <x v="3"/>
    <x v="2"/>
    <d v="2023-03-01T00:00:00"/>
    <d v="2023-02-21T00:00:00"/>
  </r>
  <r>
    <n v="2339938"/>
    <m/>
    <x v="1"/>
    <x v="0"/>
    <s v="Phone Service"/>
    <s v="Diego"/>
    <x v="1"/>
    <s v="Corporate Tools"/>
    <s v="note"/>
    <s v="Customer"/>
    <x v="2"/>
    <x v="13"/>
    <m/>
    <m/>
    <d v="2023-05-10T00:00:00"/>
    <x v="4"/>
    <x v="3"/>
    <d v="2023-04-17T00:00:00"/>
    <d v="2023-06-11T00:00:00"/>
  </r>
  <r>
    <n v="2091987"/>
    <m/>
    <x v="2"/>
    <x v="0"/>
    <s v="Phone Service"/>
    <s v="Diego"/>
    <x v="1"/>
    <s v="Corporate Tools"/>
    <s v="note"/>
    <s v="Customer"/>
    <x v="1"/>
    <x v="7"/>
    <m/>
    <m/>
    <d v="2023-09-20T00:00:00"/>
    <x v="1"/>
    <x v="1"/>
    <d v="2023-01-05T00:00:00"/>
    <d v="2023-02-01T00:00:00"/>
  </r>
  <r>
    <n v="2443179"/>
    <m/>
    <x v="0"/>
    <x v="1"/>
    <s v="Phone Service"/>
    <s v="Diego"/>
    <x v="1"/>
    <s v="Corporate Tools"/>
    <s v="note"/>
    <s v="Customer"/>
    <x v="0"/>
    <x v="3"/>
    <m/>
    <m/>
    <d v="2023-07-11T00:00:00"/>
    <x v="2"/>
    <x v="1"/>
    <d v="2023-01-14T00:00:00"/>
    <d v="2023-05-08T00:00:00"/>
  </r>
  <r>
    <n v="2932009"/>
    <m/>
    <x v="1"/>
    <x v="1"/>
    <s v="Phone Service"/>
    <s v="Diego"/>
    <x v="2"/>
    <s v="Corporate Tools"/>
    <s v="note"/>
    <s v="Customer"/>
    <x v="0"/>
    <x v="9"/>
    <m/>
    <m/>
    <d v="2023-10-20T00:00:00"/>
    <x v="3"/>
    <x v="2"/>
    <d v="2023-04-20T00:00:00"/>
    <d v="2023-08-22T00:00:00"/>
  </r>
  <r>
    <n v="2870233"/>
    <m/>
    <x v="2"/>
    <x v="0"/>
    <s v="Phone Service"/>
    <s v="Diego"/>
    <x v="1"/>
    <s v="Corporate Tools"/>
    <s v="note"/>
    <s v="Customer"/>
    <x v="0"/>
    <x v="8"/>
    <m/>
    <m/>
    <d v="2023-10-15T00:00:00"/>
    <x v="3"/>
    <x v="2"/>
    <d v="2023-08-21T00:00:00"/>
    <d v="2023-02-11T00:00:00"/>
  </r>
  <r>
    <n v="2058747"/>
    <m/>
    <x v="0"/>
    <x v="0"/>
    <s v="Phone Service"/>
    <s v="Diego"/>
    <x v="0"/>
    <s v="Corporate Tools"/>
    <s v="note"/>
    <s v="Customer"/>
    <x v="1"/>
    <x v="0"/>
    <m/>
    <m/>
    <d v="2023-09-21T00:00:00"/>
    <x v="1"/>
    <x v="1"/>
    <d v="2023-01-03T00:00:00"/>
    <d v="2023-05-15T00:00:00"/>
  </r>
  <r>
    <n v="2259577"/>
    <m/>
    <x v="0"/>
    <x v="0"/>
    <s v="Phone Service"/>
    <s v="Diego"/>
    <x v="1"/>
    <s v="Corporate Tools"/>
    <s v="note"/>
    <s v="Customer"/>
    <x v="1"/>
    <x v="8"/>
    <m/>
    <m/>
    <d v="2023-05-22T00:00:00"/>
    <x v="4"/>
    <x v="3"/>
    <d v="2023-09-07T00:00:00"/>
    <d v="2023-08-14T00:00:00"/>
  </r>
  <r>
    <n v="2564482"/>
    <m/>
    <x v="0"/>
    <x v="0"/>
    <s v="Phone Service"/>
    <s v="Diego"/>
    <x v="0"/>
    <s v="Corporate Tools"/>
    <s v="note"/>
    <s v="Customer"/>
    <x v="0"/>
    <x v="1"/>
    <m/>
    <m/>
    <d v="2023-02-19T00:00:00"/>
    <x v="11"/>
    <x v="0"/>
    <d v="2023-12-05T00:00:00"/>
    <d v="2023-11-16T00:00:00"/>
  </r>
  <r>
    <n v="2310633"/>
    <m/>
    <x v="2"/>
    <x v="2"/>
    <s v="Phone Service"/>
    <s v="Diego"/>
    <x v="2"/>
    <s v="Corporate Tools"/>
    <s v="note"/>
    <s v="Customer"/>
    <x v="0"/>
    <x v="2"/>
    <m/>
    <m/>
    <d v="2023-07-07T00:00:00"/>
    <x v="2"/>
    <x v="1"/>
    <d v="2023-03-20T00:00:00"/>
    <d v="2023-03-03T00:00:00"/>
  </r>
  <r>
    <n v="2707536"/>
    <m/>
    <x v="0"/>
    <x v="0"/>
    <s v="Phone Service"/>
    <s v="Diego"/>
    <x v="2"/>
    <s v="Corporate Tools"/>
    <s v="note"/>
    <s v="Customer"/>
    <x v="3"/>
    <x v="0"/>
    <m/>
    <m/>
    <d v="2023-12-22T00:00:00"/>
    <x v="10"/>
    <x v="2"/>
    <d v="2023-07-18T00:00:00"/>
    <d v="2023-09-16T00:00:00"/>
  </r>
  <r>
    <n v="2357999"/>
    <m/>
    <x v="0"/>
    <x v="0"/>
    <s v="Phone Service"/>
    <s v="Diego"/>
    <x v="1"/>
    <s v="Corporate Tools"/>
    <s v="note"/>
    <s v="Customer"/>
    <x v="2"/>
    <x v="1"/>
    <m/>
    <m/>
    <d v="2023-04-26T00:00:00"/>
    <x v="5"/>
    <x v="3"/>
    <d v="2023-01-21T00:00:00"/>
    <d v="2023-07-17T00:00:00"/>
  </r>
  <r>
    <n v="2595813"/>
    <m/>
    <x v="2"/>
    <x v="0"/>
    <s v="Phone Service"/>
    <s v="Diego"/>
    <x v="1"/>
    <s v="Corporate Tools"/>
    <s v="note"/>
    <s v="Customer"/>
    <x v="1"/>
    <x v="3"/>
    <m/>
    <m/>
    <d v="2023-01-20T00:00:00"/>
    <x v="0"/>
    <x v="0"/>
    <d v="2023-06-09T00:00:00"/>
    <d v="2023-02-10T00:00:00"/>
  </r>
  <r>
    <n v="2571279"/>
    <m/>
    <x v="1"/>
    <x v="0"/>
    <s v="Phone Service"/>
    <s v="Diego"/>
    <x v="3"/>
    <s v="Corporate Tools"/>
    <s v="note"/>
    <s v="Customer"/>
    <x v="0"/>
    <x v="8"/>
    <m/>
    <m/>
    <d v="2023-10-13T00:00:00"/>
    <x v="3"/>
    <x v="2"/>
    <d v="2023-04-28T00:00:00"/>
    <d v="2023-07-09T00:00:00"/>
  </r>
  <r>
    <n v="2552479"/>
    <m/>
    <x v="1"/>
    <x v="0"/>
    <s v="Phone Service"/>
    <s v="Diego"/>
    <x v="1"/>
    <s v="Corporate Tools"/>
    <s v="note"/>
    <s v="Customer"/>
    <x v="1"/>
    <x v="6"/>
    <m/>
    <m/>
    <d v="2023-03-01T00:00:00"/>
    <x v="7"/>
    <x v="0"/>
    <d v="2023-07-18T00:00:00"/>
    <d v="2023-04-06T00:00:00"/>
  </r>
  <r>
    <n v="2298763"/>
    <m/>
    <x v="1"/>
    <x v="1"/>
    <s v="Phone Service"/>
    <s v="Diego"/>
    <x v="3"/>
    <s v="Corporate Tools"/>
    <s v="note"/>
    <s v="Customer"/>
    <x v="2"/>
    <x v="4"/>
    <m/>
    <m/>
    <d v="2023-07-01T00:00:00"/>
    <x v="2"/>
    <x v="1"/>
    <d v="2023-08-04T00:00:00"/>
    <d v="2023-12-17T00:00:00"/>
  </r>
  <r>
    <n v="2673275"/>
    <m/>
    <x v="0"/>
    <x v="1"/>
    <s v="Phone Service"/>
    <s v="Diego"/>
    <x v="3"/>
    <s v="Corporate Tools"/>
    <s v="note"/>
    <s v="Customer"/>
    <x v="1"/>
    <x v="10"/>
    <m/>
    <m/>
    <d v="2023-09-07T00:00:00"/>
    <x v="1"/>
    <x v="1"/>
    <d v="2023-09-01T00:00:00"/>
    <d v="2023-09-26T00:00:00"/>
  </r>
  <r>
    <n v="2675615"/>
    <m/>
    <x v="2"/>
    <x v="0"/>
    <s v="Phone Service"/>
    <s v="Diego"/>
    <x v="1"/>
    <s v="Corporate Tools"/>
    <s v="note"/>
    <s v="Customer"/>
    <x v="1"/>
    <x v="0"/>
    <m/>
    <m/>
    <d v="2023-09-16T00:00:00"/>
    <x v="1"/>
    <x v="1"/>
    <d v="2023-06-16T00:00:00"/>
    <d v="2023-07-03T00:00:00"/>
  </r>
  <r>
    <n v="2580614"/>
    <m/>
    <x v="0"/>
    <x v="0"/>
    <s v="Phone Service"/>
    <s v="Diego"/>
    <x v="1"/>
    <s v="Corporate Tools"/>
    <s v="note"/>
    <s v="Customer"/>
    <x v="2"/>
    <x v="11"/>
    <m/>
    <m/>
    <d v="2023-04-23T00:00:00"/>
    <x v="5"/>
    <x v="3"/>
    <d v="2023-05-17T00:00:00"/>
    <d v="2023-09-26T00:00:00"/>
  </r>
  <r>
    <n v="2392784"/>
    <m/>
    <x v="1"/>
    <x v="0"/>
    <s v="Phone Service"/>
    <s v="Diego"/>
    <x v="3"/>
    <s v="Corporate Tools"/>
    <s v="note"/>
    <s v="Customer"/>
    <x v="0"/>
    <x v="14"/>
    <m/>
    <m/>
    <d v="2023-05-14T00:00:00"/>
    <x v="4"/>
    <x v="3"/>
    <d v="2023-11-09T00:00:00"/>
    <d v="2023-06-24T00:00:00"/>
  </r>
  <r>
    <n v="2602576"/>
    <m/>
    <x v="1"/>
    <x v="0"/>
    <s v="Phone Service"/>
    <s v="Diego"/>
    <x v="3"/>
    <s v="Corporate Tools"/>
    <s v="note"/>
    <s v="Customer"/>
    <x v="2"/>
    <x v="14"/>
    <m/>
    <m/>
    <d v="2023-10-19T00:00:00"/>
    <x v="3"/>
    <x v="2"/>
    <d v="2023-02-02T00:00:00"/>
    <d v="2023-01-02T00:00:00"/>
  </r>
  <r>
    <n v="2452335"/>
    <m/>
    <x v="2"/>
    <x v="1"/>
    <s v="Phone Service"/>
    <s v="Diego"/>
    <x v="0"/>
    <s v="Corporate Tools"/>
    <s v="note"/>
    <s v="Customer"/>
    <x v="2"/>
    <x v="10"/>
    <m/>
    <m/>
    <d v="2023-06-07T00:00:00"/>
    <x v="6"/>
    <x v="3"/>
    <d v="2023-05-18T00:00:00"/>
    <d v="2023-08-29T00:00:00"/>
  </r>
  <r>
    <n v="2349794"/>
    <m/>
    <x v="2"/>
    <x v="1"/>
    <s v="Phone Service"/>
    <s v="Diego"/>
    <x v="1"/>
    <s v="Corporate Tools"/>
    <s v="note"/>
    <s v="Customer"/>
    <x v="0"/>
    <x v="6"/>
    <m/>
    <m/>
    <d v="2023-06-04T00:00:00"/>
    <x v="6"/>
    <x v="3"/>
    <d v="2024-01-03T00:00:00"/>
    <d v="2023-01-04T00:00:00"/>
  </r>
  <r>
    <n v="2405107"/>
    <m/>
    <x v="2"/>
    <x v="0"/>
    <s v="Phone Service"/>
    <s v="Diego"/>
    <x v="0"/>
    <s v="Corporate Tools"/>
    <s v="note"/>
    <s v="Customer"/>
    <x v="2"/>
    <x v="12"/>
    <m/>
    <m/>
    <d v="2023-06-13T00:00:00"/>
    <x v="6"/>
    <x v="3"/>
    <d v="2023-02-18T00:00:00"/>
    <d v="2023-09-09T00:00:00"/>
  </r>
  <r>
    <n v="2085458"/>
    <m/>
    <x v="2"/>
    <x v="2"/>
    <s v="Phone Service"/>
    <s v="Diego"/>
    <x v="3"/>
    <s v="Corporate Tools"/>
    <s v="note"/>
    <s v="Customer"/>
    <x v="0"/>
    <x v="14"/>
    <m/>
    <m/>
    <d v="2023-03-15T00:00:00"/>
    <x v="7"/>
    <x v="0"/>
    <d v="2023-05-19T00:00:00"/>
    <d v="2023-01-22T00:00:00"/>
  </r>
  <r>
    <n v="2921963"/>
    <m/>
    <x v="1"/>
    <x v="0"/>
    <s v="Phone Service"/>
    <s v="Diego"/>
    <x v="1"/>
    <s v="Corporate Tools"/>
    <s v="note"/>
    <s v="Customer"/>
    <x v="3"/>
    <x v="12"/>
    <m/>
    <m/>
    <d v="2023-06-10T00:00:00"/>
    <x v="6"/>
    <x v="3"/>
    <d v="2023-12-09T00:00:00"/>
    <d v="2023-02-14T00:00:00"/>
  </r>
  <r>
    <n v="2490004"/>
    <m/>
    <x v="2"/>
    <x v="0"/>
    <s v="Phone Service"/>
    <s v="Diego"/>
    <x v="0"/>
    <s v="Corporate Tools"/>
    <s v="note"/>
    <s v="Customer"/>
    <x v="3"/>
    <x v="9"/>
    <m/>
    <m/>
    <d v="2023-03-31T00:00:00"/>
    <x v="7"/>
    <x v="0"/>
    <d v="2023-04-18T00:00:00"/>
    <d v="2023-05-27T00:00:00"/>
  </r>
  <r>
    <n v="2742206"/>
    <m/>
    <x v="0"/>
    <x v="1"/>
    <s v="Phone Service"/>
    <s v="Diego"/>
    <x v="3"/>
    <s v="Corporate Tools"/>
    <s v="note"/>
    <s v="Customer"/>
    <x v="2"/>
    <x v="1"/>
    <m/>
    <m/>
    <d v="2023-07-17T00:00:00"/>
    <x v="2"/>
    <x v="1"/>
    <d v="2023-09-08T00:00:00"/>
    <d v="2023-04-06T00:00:00"/>
  </r>
  <r>
    <n v="2934550"/>
    <m/>
    <x v="1"/>
    <x v="0"/>
    <s v="Phone Service"/>
    <s v="Diego"/>
    <x v="3"/>
    <s v="Corporate Tools"/>
    <s v="note"/>
    <s v="Customer"/>
    <x v="2"/>
    <x v="5"/>
    <m/>
    <m/>
    <d v="2023-08-01T00:00:00"/>
    <x v="8"/>
    <x v="1"/>
    <d v="2023-11-01T00:00:00"/>
    <d v="2023-12-09T00:00:00"/>
  </r>
  <r>
    <n v="2536998"/>
    <m/>
    <x v="0"/>
    <x v="1"/>
    <s v="Phone Service"/>
    <s v="Diego"/>
    <x v="3"/>
    <s v="Corporate Tools"/>
    <s v="note"/>
    <s v="Customer"/>
    <x v="3"/>
    <x v="1"/>
    <m/>
    <m/>
    <d v="2023-01-14T00:00:00"/>
    <x v="0"/>
    <x v="0"/>
    <d v="2023-09-10T00:00:00"/>
    <d v="2023-04-12T00:00:00"/>
  </r>
  <r>
    <n v="2228303"/>
    <m/>
    <x v="0"/>
    <x v="0"/>
    <s v="Phone Service"/>
    <s v="Diego"/>
    <x v="0"/>
    <s v="Corporate Tools"/>
    <s v="note"/>
    <s v="Customer"/>
    <x v="3"/>
    <x v="5"/>
    <m/>
    <m/>
    <d v="2023-07-23T00:00:00"/>
    <x v="2"/>
    <x v="1"/>
    <d v="2023-12-05T00:00:00"/>
    <d v="2023-08-17T00:00:00"/>
  </r>
  <r>
    <n v="2860956"/>
    <m/>
    <x v="2"/>
    <x v="1"/>
    <s v="Phone Service"/>
    <s v="Diego"/>
    <x v="2"/>
    <s v="Corporate Tools"/>
    <s v="note"/>
    <s v="Customer"/>
    <x v="1"/>
    <x v="14"/>
    <m/>
    <m/>
    <d v="2023-06-30T00:00:00"/>
    <x v="6"/>
    <x v="3"/>
    <d v="2023-01-21T00:00:00"/>
    <d v="2023-04-10T00:00:00"/>
  </r>
  <r>
    <n v="2646222"/>
    <m/>
    <x v="1"/>
    <x v="2"/>
    <s v="Phone Service"/>
    <s v="Diego"/>
    <x v="0"/>
    <s v="Corporate Tools"/>
    <s v="note"/>
    <s v="Customer"/>
    <x v="0"/>
    <x v="4"/>
    <m/>
    <m/>
    <d v="2023-03-27T00:00:00"/>
    <x v="7"/>
    <x v="0"/>
    <d v="2023-05-07T00:00:00"/>
    <d v="2023-01-11T00:00:00"/>
  </r>
  <r>
    <n v="2415363"/>
    <m/>
    <x v="2"/>
    <x v="1"/>
    <s v="Phone Service"/>
    <s v="Diego"/>
    <x v="0"/>
    <s v="Corporate Tools"/>
    <s v="note"/>
    <s v="Customer"/>
    <x v="2"/>
    <x v="13"/>
    <m/>
    <m/>
    <d v="2023-01-02T00:00:00"/>
    <x v="0"/>
    <x v="0"/>
    <d v="2023-02-17T00:00:00"/>
    <d v="2023-07-07T00:00:00"/>
  </r>
  <r>
    <n v="2202347"/>
    <m/>
    <x v="0"/>
    <x v="2"/>
    <s v="Phone Service"/>
    <s v="Diego"/>
    <x v="3"/>
    <s v="Corporate Tools"/>
    <s v="note"/>
    <s v="Customer"/>
    <x v="2"/>
    <x v="10"/>
    <m/>
    <m/>
    <d v="2023-12-15T00:00:00"/>
    <x v="10"/>
    <x v="2"/>
    <d v="2023-11-28T00:00:00"/>
    <d v="2023-06-29T00:00:00"/>
  </r>
  <r>
    <n v="2621273"/>
    <m/>
    <x v="0"/>
    <x v="2"/>
    <s v="Phone Service"/>
    <s v="Diego"/>
    <x v="1"/>
    <s v="Corporate Tools"/>
    <s v="note"/>
    <s v="Customer"/>
    <x v="2"/>
    <x v="8"/>
    <m/>
    <m/>
    <d v="2023-06-13T00:00:00"/>
    <x v="6"/>
    <x v="3"/>
    <d v="2023-03-29T00:00:00"/>
    <d v="2023-09-29T00:00:00"/>
  </r>
  <r>
    <n v="2559495"/>
    <m/>
    <x v="1"/>
    <x v="1"/>
    <s v="Phone Service"/>
    <s v="Diego"/>
    <x v="1"/>
    <s v="Corporate Tools"/>
    <s v="note"/>
    <s v="Customer"/>
    <x v="0"/>
    <x v="1"/>
    <m/>
    <m/>
    <d v="2023-05-31T00:00:00"/>
    <x v="4"/>
    <x v="3"/>
    <d v="2023-03-18T00:00:00"/>
    <d v="2023-12-24T00:00:00"/>
  </r>
  <r>
    <n v="2888456"/>
    <m/>
    <x v="1"/>
    <x v="1"/>
    <s v="Phone Service"/>
    <s v="Diego"/>
    <x v="0"/>
    <s v="Corporate Tools"/>
    <s v="note"/>
    <s v="Customer"/>
    <x v="0"/>
    <x v="4"/>
    <m/>
    <m/>
    <d v="2023-12-27T00:00:00"/>
    <x v="10"/>
    <x v="2"/>
    <d v="2023-06-27T00:00:00"/>
    <d v="2023-10-04T00:00:00"/>
  </r>
  <r>
    <n v="2795742"/>
    <m/>
    <x v="0"/>
    <x v="2"/>
    <s v="Phone Service"/>
    <s v="Diego"/>
    <x v="1"/>
    <s v="Corporate Tools"/>
    <s v="note"/>
    <s v="Customer"/>
    <x v="3"/>
    <x v="9"/>
    <m/>
    <m/>
    <d v="2023-07-07T00:00:00"/>
    <x v="2"/>
    <x v="1"/>
    <d v="2023-04-27T00:00:00"/>
    <d v="2023-04-24T00:00:00"/>
  </r>
  <r>
    <n v="2713348"/>
    <m/>
    <x v="1"/>
    <x v="1"/>
    <s v="Phone Service"/>
    <s v="Diego"/>
    <x v="3"/>
    <s v="Corporate Tools"/>
    <s v="note"/>
    <s v="Customer"/>
    <x v="3"/>
    <x v="4"/>
    <m/>
    <m/>
    <d v="2023-09-08T00:00:00"/>
    <x v="1"/>
    <x v="1"/>
    <d v="2023-08-12T00:00:00"/>
    <d v="2023-03-03T00:00:00"/>
  </r>
  <r>
    <n v="2088969"/>
    <m/>
    <x v="1"/>
    <x v="1"/>
    <s v="Phone Service"/>
    <s v="Diego"/>
    <x v="3"/>
    <s v="Corporate Tools"/>
    <s v="note"/>
    <s v="Customer"/>
    <x v="1"/>
    <x v="13"/>
    <m/>
    <m/>
    <d v="2023-09-26T00:00:00"/>
    <x v="1"/>
    <x v="1"/>
    <d v="2023-05-12T00:00:00"/>
    <d v="2023-01-17T00:00:00"/>
  </r>
  <r>
    <n v="2338621"/>
    <m/>
    <x v="0"/>
    <x v="2"/>
    <s v="Phone Service"/>
    <s v="Diego"/>
    <x v="2"/>
    <s v="Corporate Tools"/>
    <s v="note"/>
    <s v="Customer"/>
    <x v="3"/>
    <x v="11"/>
    <m/>
    <m/>
    <d v="2023-07-23T00:00:00"/>
    <x v="2"/>
    <x v="1"/>
    <d v="2023-10-24T00:00:00"/>
    <d v="2023-09-27T00:00:00"/>
  </r>
  <r>
    <n v="2196664"/>
    <m/>
    <x v="1"/>
    <x v="2"/>
    <s v="Phone Service"/>
    <s v="Diego"/>
    <x v="1"/>
    <s v="Corporate Tools"/>
    <s v="note"/>
    <s v="Customer"/>
    <x v="0"/>
    <x v="1"/>
    <m/>
    <m/>
    <d v="2023-10-30T00:00:00"/>
    <x v="3"/>
    <x v="2"/>
    <d v="2023-02-28T00:00:00"/>
    <d v="2023-02-16T00:00:00"/>
  </r>
  <r>
    <n v="2069955"/>
    <m/>
    <x v="2"/>
    <x v="2"/>
    <s v="Phone Service"/>
    <s v="Diego"/>
    <x v="2"/>
    <s v="Corporate Tools"/>
    <s v="note"/>
    <s v="Customer"/>
    <x v="2"/>
    <x v="6"/>
    <m/>
    <m/>
    <d v="2023-07-23T00:00:00"/>
    <x v="2"/>
    <x v="1"/>
    <d v="2023-03-30T00:00:00"/>
    <d v="2023-06-21T00:00:00"/>
  </r>
  <r>
    <n v="2030050"/>
    <m/>
    <x v="0"/>
    <x v="1"/>
    <s v="Phone Service"/>
    <s v="Diego"/>
    <x v="1"/>
    <s v="Corporate Tools"/>
    <s v="note"/>
    <s v="Customer"/>
    <x v="2"/>
    <x v="12"/>
    <m/>
    <m/>
    <d v="2023-12-13T00:00:00"/>
    <x v="10"/>
    <x v="2"/>
    <d v="2023-05-15T00:00:00"/>
    <d v="2023-08-13T00:00:00"/>
  </r>
  <r>
    <n v="2429485"/>
    <m/>
    <x v="0"/>
    <x v="1"/>
    <s v="Phone Service"/>
    <s v="Diego"/>
    <x v="0"/>
    <s v="Corporate Tools"/>
    <s v="note"/>
    <s v="Customer"/>
    <x v="0"/>
    <x v="7"/>
    <m/>
    <m/>
    <d v="2023-07-09T00:00:00"/>
    <x v="2"/>
    <x v="1"/>
    <d v="2023-05-09T00:00:00"/>
    <d v="2023-06-25T00:00:00"/>
  </r>
  <r>
    <n v="2023820"/>
    <m/>
    <x v="1"/>
    <x v="2"/>
    <s v="Phone Service"/>
    <s v="Diego"/>
    <x v="1"/>
    <s v="Corporate Tools"/>
    <s v="note"/>
    <s v="Customer"/>
    <x v="3"/>
    <x v="11"/>
    <m/>
    <m/>
    <d v="2023-02-13T00:00:00"/>
    <x v="11"/>
    <x v="0"/>
    <d v="2023-09-23T00:00:00"/>
    <d v="2023-11-02T00:00:00"/>
  </r>
  <r>
    <n v="2491520"/>
    <m/>
    <x v="2"/>
    <x v="1"/>
    <s v="Phone Service"/>
    <s v="Diego"/>
    <x v="0"/>
    <s v="Corporate Tools"/>
    <s v="note"/>
    <s v="Customer"/>
    <x v="2"/>
    <x v="7"/>
    <m/>
    <m/>
    <d v="2023-10-17T00:00:00"/>
    <x v="3"/>
    <x v="2"/>
    <d v="2023-08-20T00:00:00"/>
    <d v="2023-05-03T00:00:00"/>
  </r>
  <r>
    <n v="2088092"/>
    <m/>
    <x v="1"/>
    <x v="2"/>
    <s v="Phone Service"/>
    <s v="Diego"/>
    <x v="3"/>
    <s v="Corporate Tools"/>
    <s v="note"/>
    <s v="Customer"/>
    <x v="1"/>
    <x v="1"/>
    <m/>
    <m/>
    <d v="2023-02-26T00:00:00"/>
    <x v="11"/>
    <x v="0"/>
    <d v="2023-08-16T00:00:00"/>
    <d v="2023-11-18T00:00:00"/>
  </r>
  <r>
    <n v="2598358"/>
    <m/>
    <x v="2"/>
    <x v="0"/>
    <s v="Phone Service"/>
    <s v="Diego"/>
    <x v="3"/>
    <s v="Corporate Tools"/>
    <s v="note"/>
    <s v="Customer"/>
    <x v="2"/>
    <x v="13"/>
    <m/>
    <m/>
    <d v="2023-10-23T00:00:00"/>
    <x v="3"/>
    <x v="2"/>
    <d v="2023-12-30T00:00:00"/>
    <d v="2023-07-17T00:00:00"/>
  </r>
  <r>
    <n v="2176333"/>
    <m/>
    <x v="0"/>
    <x v="1"/>
    <s v="Phone Service"/>
    <s v="Diego"/>
    <x v="0"/>
    <s v="Corporate Tools"/>
    <s v="note"/>
    <s v="Customer"/>
    <x v="3"/>
    <x v="4"/>
    <m/>
    <m/>
    <d v="2023-05-10T00:00:00"/>
    <x v="4"/>
    <x v="3"/>
    <d v="2024-01-01T00:00:00"/>
    <d v="2023-06-17T00:00:00"/>
  </r>
  <r>
    <n v="2497691"/>
    <m/>
    <x v="1"/>
    <x v="2"/>
    <s v="Phone Service"/>
    <s v="Diego"/>
    <x v="0"/>
    <s v="Corporate Tools"/>
    <s v="note"/>
    <s v="Customer"/>
    <x v="1"/>
    <x v="11"/>
    <m/>
    <m/>
    <d v="2023-04-03T00:00:00"/>
    <x v="5"/>
    <x v="3"/>
    <d v="2023-07-16T00:00:00"/>
    <d v="2023-12-23T00:00:00"/>
  </r>
  <r>
    <n v="2080612"/>
    <m/>
    <x v="1"/>
    <x v="0"/>
    <s v="Phone Service"/>
    <s v="Diego"/>
    <x v="0"/>
    <s v="Corporate Tools"/>
    <s v="note"/>
    <s v="Customer"/>
    <x v="3"/>
    <x v="4"/>
    <m/>
    <m/>
    <d v="2023-02-09T00:00:00"/>
    <x v="11"/>
    <x v="0"/>
    <d v="2023-09-11T00:00:00"/>
    <d v="2023-08-03T00:00:00"/>
  </r>
  <r>
    <n v="2434660"/>
    <m/>
    <x v="1"/>
    <x v="1"/>
    <s v="Phone Service"/>
    <s v="Diego"/>
    <x v="1"/>
    <s v="Corporate Tools"/>
    <s v="note"/>
    <s v="Customer"/>
    <x v="1"/>
    <x v="12"/>
    <m/>
    <m/>
    <d v="2023-03-10T00:00:00"/>
    <x v="7"/>
    <x v="0"/>
    <d v="2023-10-03T00:00:00"/>
    <d v="2023-06-01T00:00:00"/>
  </r>
  <r>
    <n v="2797598"/>
    <m/>
    <x v="1"/>
    <x v="1"/>
    <s v="Phone Service"/>
    <s v="Diego"/>
    <x v="2"/>
    <s v="Corporate Tools"/>
    <s v="note"/>
    <s v="Customer"/>
    <x v="1"/>
    <x v="7"/>
    <m/>
    <m/>
    <d v="2023-05-20T00:00:00"/>
    <x v="4"/>
    <x v="3"/>
    <d v="2023-06-09T00:00:00"/>
    <d v="2023-11-09T00:00:00"/>
  </r>
  <r>
    <n v="2192770"/>
    <m/>
    <x v="0"/>
    <x v="1"/>
    <s v="Phone Service"/>
    <s v="Diego"/>
    <x v="2"/>
    <s v="Corporate Tools"/>
    <s v="note"/>
    <s v="Customer"/>
    <x v="0"/>
    <x v="10"/>
    <m/>
    <m/>
    <d v="2023-04-18T00:00:00"/>
    <x v="5"/>
    <x v="3"/>
    <d v="2023-08-11T00:00:00"/>
    <d v="2023-01-03T00:00:00"/>
  </r>
  <r>
    <n v="2882283"/>
    <m/>
    <x v="2"/>
    <x v="0"/>
    <s v="Phone Service"/>
    <s v="Diego"/>
    <x v="2"/>
    <s v="Corporate Tools"/>
    <s v="note"/>
    <s v="Customer"/>
    <x v="1"/>
    <x v="7"/>
    <m/>
    <m/>
    <d v="2024-01-04T00:00:00"/>
    <x v="0"/>
    <x v="0"/>
    <d v="2023-05-20T00:00:00"/>
    <d v="2023-01-23T00:00:00"/>
  </r>
  <r>
    <n v="2454471"/>
    <m/>
    <x v="0"/>
    <x v="2"/>
    <s v="Phone Service"/>
    <s v="Diego"/>
    <x v="1"/>
    <s v="Corporate Tools"/>
    <s v="note"/>
    <s v="Customer"/>
    <x v="3"/>
    <x v="1"/>
    <m/>
    <m/>
    <d v="2024-01-02T00:00:00"/>
    <x v="0"/>
    <x v="0"/>
    <d v="2023-02-06T00:00:00"/>
    <d v="2023-09-04T00:00:00"/>
  </r>
  <r>
    <n v="2411760"/>
    <m/>
    <x v="0"/>
    <x v="0"/>
    <s v="Phone Service"/>
    <s v="Diego"/>
    <x v="3"/>
    <s v="Corporate Tools"/>
    <s v="note"/>
    <s v="Customer"/>
    <x v="0"/>
    <x v="6"/>
    <m/>
    <m/>
    <d v="2023-02-14T00:00:00"/>
    <x v="11"/>
    <x v="0"/>
    <d v="2024-01-04T00:00:00"/>
    <d v="2023-08-21T00:00:00"/>
  </r>
  <r>
    <n v="2999152"/>
    <m/>
    <x v="1"/>
    <x v="1"/>
    <s v="Phone Service"/>
    <s v="Diego"/>
    <x v="2"/>
    <s v="Corporate Tools"/>
    <s v="note"/>
    <s v="Customer"/>
    <x v="3"/>
    <x v="11"/>
    <m/>
    <m/>
    <d v="2023-10-09T00:00:00"/>
    <x v="3"/>
    <x v="2"/>
    <d v="2023-04-30T00:00:00"/>
    <d v="2023-05-06T00:00:00"/>
  </r>
  <r>
    <n v="2933385"/>
    <m/>
    <x v="0"/>
    <x v="2"/>
    <s v="Phone Service"/>
    <s v="Diego"/>
    <x v="1"/>
    <s v="Corporate Tools"/>
    <s v="note"/>
    <s v="Customer"/>
    <x v="2"/>
    <x v="4"/>
    <m/>
    <m/>
    <d v="2023-07-21T00:00:00"/>
    <x v="2"/>
    <x v="1"/>
    <d v="2023-09-24T00:00:00"/>
    <d v="2024-01-07T00:00:00"/>
  </r>
  <r>
    <n v="2896549"/>
    <m/>
    <x v="0"/>
    <x v="0"/>
    <s v="Phone Service"/>
    <s v="Diego"/>
    <x v="3"/>
    <s v="Corporate Tools"/>
    <s v="note"/>
    <s v="Customer"/>
    <x v="2"/>
    <x v="12"/>
    <m/>
    <m/>
    <d v="2023-05-11T00:00:00"/>
    <x v="4"/>
    <x v="3"/>
    <d v="2023-02-14T00:00:00"/>
    <d v="2023-10-26T00:00:00"/>
  </r>
  <r>
    <n v="2861274"/>
    <m/>
    <x v="0"/>
    <x v="0"/>
    <s v="Phone Service"/>
    <s v="Diego"/>
    <x v="1"/>
    <s v="Corporate Tools"/>
    <s v="note"/>
    <s v="Customer"/>
    <x v="0"/>
    <x v="9"/>
    <m/>
    <m/>
    <d v="2023-09-23T00:00:00"/>
    <x v="1"/>
    <x v="1"/>
    <d v="2024-01-03T00:00:00"/>
    <d v="2023-08-22T00:00:00"/>
  </r>
  <r>
    <n v="2548885"/>
    <m/>
    <x v="0"/>
    <x v="1"/>
    <s v="Phone Service"/>
    <s v="Diego"/>
    <x v="1"/>
    <s v="Corporate Tools"/>
    <s v="note"/>
    <s v="Customer"/>
    <x v="2"/>
    <x v="15"/>
    <m/>
    <m/>
    <d v="2023-04-25T00:00:00"/>
    <x v="5"/>
    <x v="3"/>
    <d v="2023-06-15T00:00:00"/>
    <d v="2023-08-01T00:00:00"/>
  </r>
  <r>
    <n v="2212149"/>
    <m/>
    <x v="0"/>
    <x v="2"/>
    <s v="Phone Service"/>
    <s v="Diego"/>
    <x v="2"/>
    <s v="Corporate Tools"/>
    <s v="note"/>
    <s v="Customer"/>
    <x v="0"/>
    <x v="11"/>
    <m/>
    <m/>
    <d v="2023-05-31T00:00:00"/>
    <x v="4"/>
    <x v="3"/>
    <d v="2023-07-21T00:00:00"/>
    <d v="2023-03-07T00:00:00"/>
  </r>
  <r>
    <n v="2974254"/>
    <m/>
    <x v="2"/>
    <x v="1"/>
    <s v="Phone Service"/>
    <s v="Diego"/>
    <x v="3"/>
    <s v="Corporate Tools"/>
    <s v="note"/>
    <s v="Customer"/>
    <x v="3"/>
    <x v="13"/>
    <m/>
    <m/>
    <d v="2023-02-27T00:00:00"/>
    <x v="11"/>
    <x v="0"/>
    <d v="2023-01-15T00:00:00"/>
    <d v="2023-11-15T00:00:00"/>
  </r>
  <r>
    <n v="2124110"/>
    <m/>
    <x v="0"/>
    <x v="0"/>
    <s v="Phone Service"/>
    <s v="Diego"/>
    <x v="0"/>
    <s v="Corporate Tools"/>
    <s v="note"/>
    <s v="Customer"/>
    <x v="2"/>
    <x v="15"/>
    <m/>
    <m/>
    <d v="2023-04-01T00:00:00"/>
    <x v="5"/>
    <x v="3"/>
    <d v="2024-01-05T00:00:00"/>
    <d v="2023-07-22T00:00:00"/>
  </r>
  <r>
    <n v="2019721"/>
    <m/>
    <x v="0"/>
    <x v="2"/>
    <s v="Phone Service"/>
    <s v="Diego"/>
    <x v="0"/>
    <s v="Corporate Tools"/>
    <s v="note"/>
    <s v="Customer"/>
    <x v="1"/>
    <x v="8"/>
    <m/>
    <m/>
    <d v="2023-06-03T00:00:00"/>
    <x v="6"/>
    <x v="3"/>
    <d v="2023-06-08T00:00:00"/>
    <d v="2023-03-26T00:00:00"/>
  </r>
  <r>
    <n v="2912565"/>
    <m/>
    <x v="2"/>
    <x v="0"/>
    <s v="Phone Service"/>
    <s v="Diego"/>
    <x v="1"/>
    <s v="Corporate Tools"/>
    <s v="note"/>
    <s v="Customer"/>
    <x v="0"/>
    <x v="9"/>
    <m/>
    <m/>
    <d v="2023-10-28T00:00:00"/>
    <x v="3"/>
    <x v="2"/>
    <d v="2023-05-20T00:00:00"/>
    <d v="2023-01-11T00:00:00"/>
  </r>
  <r>
    <n v="2461675"/>
    <m/>
    <x v="2"/>
    <x v="2"/>
    <s v="Phone Service"/>
    <s v="Diego"/>
    <x v="0"/>
    <s v="Corporate Tools"/>
    <s v="note"/>
    <s v="Customer"/>
    <x v="2"/>
    <x v="9"/>
    <m/>
    <m/>
    <d v="2023-04-09T00:00:00"/>
    <x v="5"/>
    <x v="3"/>
    <d v="2023-02-24T00:00:00"/>
    <d v="2023-02-18T00:00:00"/>
  </r>
  <r>
    <n v="2227578"/>
    <m/>
    <x v="0"/>
    <x v="2"/>
    <s v="Phone Service"/>
    <s v="Diego"/>
    <x v="2"/>
    <s v="Corporate Tools"/>
    <s v="note"/>
    <s v="Customer"/>
    <x v="0"/>
    <x v="6"/>
    <m/>
    <m/>
    <d v="2023-07-28T00:00:00"/>
    <x v="2"/>
    <x v="1"/>
    <d v="2023-03-07T00:00:00"/>
    <d v="2023-12-06T00:00:00"/>
  </r>
  <r>
    <n v="2655653"/>
    <m/>
    <x v="0"/>
    <x v="1"/>
    <s v="Phone Service"/>
    <s v="Diego"/>
    <x v="0"/>
    <s v="Corporate Tools"/>
    <s v="note"/>
    <s v="Customer"/>
    <x v="3"/>
    <x v="4"/>
    <m/>
    <m/>
    <d v="2023-06-13T00:00:00"/>
    <x v="6"/>
    <x v="3"/>
    <d v="2023-12-22T00:00:00"/>
    <d v="2023-08-11T00:00:00"/>
  </r>
  <r>
    <n v="2104751"/>
    <m/>
    <x v="1"/>
    <x v="2"/>
    <s v="Phone Service"/>
    <s v="Diego"/>
    <x v="1"/>
    <s v="Corporate Tools"/>
    <s v="note"/>
    <s v="Customer"/>
    <x v="1"/>
    <x v="5"/>
    <m/>
    <m/>
    <d v="2023-01-16T00:00:00"/>
    <x v="0"/>
    <x v="0"/>
    <d v="2023-06-15T00:00:00"/>
    <d v="2023-10-14T00:00:00"/>
  </r>
  <r>
    <n v="2522981"/>
    <m/>
    <x v="2"/>
    <x v="0"/>
    <s v="Phone Service"/>
    <s v="Diego"/>
    <x v="3"/>
    <s v="Corporate Tools"/>
    <s v="note"/>
    <s v="Customer"/>
    <x v="1"/>
    <x v="15"/>
    <m/>
    <m/>
    <d v="2023-11-28T00:00:00"/>
    <x v="9"/>
    <x v="2"/>
    <d v="2023-02-25T00:00:00"/>
    <d v="2023-04-03T00:00:00"/>
  </r>
  <r>
    <n v="2423194"/>
    <m/>
    <x v="1"/>
    <x v="2"/>
    <s v="Phone Service"/>
    <s v="Diego"/>
    <x v="0"/>
    <s v="Corporate Tools"/>
    <s v="note"/>
    <s v="Customer"/>
    <x v="2"/>
    <x v="8"/>
    <m/>
    <m/>
    <d v="2023-03-17T00:00:00"/>
    <x v="7"/>
    <x v="0"/>
    <d v="2023-06-08T00:00:00"/>
    <d v="2023-11-07T00:00:00"/>
  </r>
  <r>
    <n v="2842010"/>
    <m/>
    <x v="2"/>
    <x v="0"/>
    <s v="Phone Service"/>
    <s v="Diego"/>
    <x v="1"/>
    <s v="Corporate Tools"/>
    <s v="note"/>
    <s v="Customer"/>
    <x v="1"/>
    <x v="12"/>
    <m/>
    <m/>
    <d v="2023-10-13T00:00:00"/>
    <x v="3"/>
    <x v="2"/>
    <d v="2023-05-11T00:00:00"/>
    <d v="2023-06-26T00:00:00"/>
  </r>
  <r>
    <n v="2385864"/>
    <m/>
    <x v="2"/>
    <x v="1"/>
    <s v="Phone Service"/>
    <s v="Diego"/>
    <x v="3"/>
    <s v="Corporate Tools"/>
    <s v="note"/>
    <s v="Customer"/>
    <x v="1"/>
    <x v="4"/>
    <m/>
    <m/>
    <d v="2023-08-26T00:00:00"/>
    <x v="8"/>
    <x v="1"/>
    <d v="2023-09-02T00:00:00"/>
    <d v="2023-06-04T00:00:00"/>
  </r>
  <r>
    <n v="2295013"/>
    <m/>
    <x v="2"/>
    <x v="2"/>
    <s v="Phone Service"/>
    <s v="Diego"/>
    <x v="2"/>
    <s v="Corporate Tools"/>
    <s v="note"/>
    <s v="Customer"/>
    <x v="0"/>
    <x v="1"/>
    <m/>
    <m/>
    <d v="2023-10-02T00:00:00"/>
    <x v="3"/>
    <x v="2"/>
    <d v="2023-01-17T00:00:00"/>
    <d v="2023-05-02T00:00:00"/>
  </r>
  <r>
    <n v="2636901"/>
    <m/>
    <x v="2"/>
    <x v="1"/>
    <s v="Phone Service"/>
    <s v="Diego"/>
    <x v="0"/>
    <s v="Corporate Tools"/>
    <s v="note"/>
    <s v="Customer"/>
    <x v="3"/>
    <x v="14"/>
    <m/>
    <m/>
    <d v="2023-10-31T00:00:00"/>
    <x v="3"/>
    <x v="2"/>
    <d v="2023-03-16T00:00:00"/>
    <d v="2023-10-10T00:00:00"/>
  </r>
  <r>
    <n v="2950940"/>
    <m/>
    <x v="2"/>
    <x v="0"/>
    <s v="Phone Service"/>
    <s v="Diego"/>
    <x v="1"/>
    <s v="Corporate Tools"/>
    <s v="note"/>
    <s v="Customer"/>
    <x v="2"/>
    <x v="1"/>
    <m/>
    <m/>
    <d v="2023-08-17T00:00:00"/>
    <x v="8"/>
    <x v="1"/>
    <d v="2023-03-16T00:00:00"/>
    <d v="2023-10-22T00:00:00"/>
  </r>
  <r>
    <n v="2791493"/>
    <m/>
    <x v="2"/>
    <x v="1"/>
    <s v="Phone Service"/>
    <s v="Diego"/>
    <x v="1"/>
    <s v="Corporate Tools"/>
    <s v="note"/>
    <s v="Customer"/>
    <x v="1"/>
    <x v="8"/>
    <m/>
    <m/>
    <d v="2023-12-27T00:00:00"/>
    <x v="10"/>
    <x v="2"/>
    <d v="2023-06-19T00:00:00"/>
    <d v="2023-07-02T00:00:00"/>
  </r>
  <r>
    <n v="2934777"/>
    <m/>
    <x v="1"/>
    <x v="1"/>
    <s v="Phone Service"/>
    <s v="Diego"/>
    <x v="0"/>
    <s v="Corporate Tools"/>
    <s v="note"/>
    <s v="Customer"/>
    <x v="3"/>
    <x v="11"/>
    <m/>
    <m/>
    <d v="2023-07-02T00:00:00"/>
    <x v="2"/>
    <x v="1"/>
    <d v="2023-02-24T00:00:00"/>
    <d v="2023-12-01T00:00:00"/>
  </r>
  <r>
    <n v="2430182"/>
    <m/>
    <x v="2"/>
    <x v="1"/>
    <s v="Phone Service"/>
    <s v="Diego"/>
    <x v="0"/>
    <s v="Corporate Tools"/>
    <s v="note"/>
    <s v="Customer"/>
    <x v="2"/>
    <x v="7"/>
    <m/>
    <m/>
    <d v="2023-01-30T00:00:00"/>
    <x v="0"/>
    <x v="0"/>
    <d v="2023-02-19T00:00:00"/>
    <d v="2023-09-25T00:00:00"/>
  </r>
  <r>
    <n v="2422479"/>
    <m/>
    <x v="0"/>
    <x v="1"/>
    <s v="Phone Service"/>
    <s v="Diego"/>
    <x v="0"/>
    <s v="Corporate Tools"/>
    <s v="note"/>
    <s v="Customer"/>
    <x v="0"/>
    <x v="14"/>
    <m/>
    <m/>
    <d v="2023-12-16T00:00:00"/>
    <x v="10"/>
    <x v="2"/>
    <d v="2023-10-18T00:00:00"/>
    <d v="2023-08-10T00:00:00"/>
  </r>
  <r>
    <n v="2980509"/>
    <m/>
    <x v="1"/>
    <x v="2"/>
    <s v="Phone Service"/>
    <s v="Diego"/>
    <x v="3"/>
    <s v="Corporate Tools"/>
    <s v="note"/>
    <s v="Customer"/>
    <x v="3"/>
    <x v="10"/>
    <m/>
    <m/>
    <d v="2023-04-20T00:00:00"/>
    <x v="5"/>
    <x v="3"/>
    <d v="2023-08-12T00:00:00"/>
    <d v="2023-01-16T00:00:00"/>
  </r>
  <r>
    <n v="2088773"/>
    <m/>
    <x v="2"/>
    <x v="0"/>
    <s v="Phone Service"/>
    <s v="Diego"/>
    <x v="0"/>
    <s v="Corporate Tools"/>
    <s v="note"/>
    <s v="Customer"/>
    <x v="0"/>
    <x v="12"/>
    <m/>
    <m/>
    <d v="2023-05-19T00:00:00"/>
    <x v="4"/>
    <x v="3"/>
    <d v="2023-07-11T00:00:00"/>
    <d v="2023-12-13T00:00:00"/>
  </r>
  <r>
    <n v="2344483"/>
    <m/>
    <x v="1"/>
    <x v="1"/>
    <s v="Phone Service"/>
    <s v="Diego"/>
    <x v="3"/>
    <s v="Corporate Tools"/>
    <s v="note"/>
    <s v="Customer"/>
    <x v="3"/>
    <x v="4"/>
    <m/>
    <m/>
    <d v="2023-03-27T00:00:00"/>
    <x v="7"/>
    <x v="0"/>
    <d v="2023-09-01T00:00:00"/>
    <d v="2023-11-14T00:00:00"/>
  </r>
  <r>
    <n v="2234792"/>
    <m/>
    <x v="1"/>
    <x v="1"/>
    <s v="Phone Service"/>
    <s v="Diego"/>
    <x v="0"/>
    <s v="Corporate Tools"/>
    <s v="note"/>
    <s v="Customer"/>
    <x v="3"/>
    <x v="13"/>
    <m/>
    <m/>
    <d v="2023-09-26T00:00:00"/>
    <x v="1"/>
    <x v="1"/>
    <d v="2023-12-11T00:00:00"/>
    <d v="2023-03-02T00:00:00"/>
  </r>
  <r>
    <n v="2380722"/>
    <m/>
    <x v="0"/>
    <x v="0"/>
    <s v="Phone Service"/>
    <s v="Diego"/>
    <x v="1"/>
    <s v="Corporate Tools"/>
    <s v="note"/>
    <s v="Customer"/>
    <x v="1"/>
    <x v="9"/>
    <m/>
    <m/>
    <d v="2023-04-06T00:00:00"/>
    <x v="5"/>
    <x v="3"/>
    <d v="2023-03-22T00:00:00"/>
    <d v="2023-07-15T00:00:00"/>
  </r>
  <r>
    <n v="2625020"/>
    <m/>
    <x v="2"/>
    <x v="0"/>
    <s v="Phone Service"/>
    <s v="Diego"/>
    <x v="3"/>
    <s v="Corporate Tools"/>
    <s v="note"/>
    <s v="Customer"/>
    <x v="0"/>
    <x v="8"/>
    <m/>
    <m/>
    <d v="2023-04-23T00:00:00"/>
    <x v="5"/>
    <x v="3"/>
    <d v="2023-04-17T00:00:00"/>
    <d v="2023-02-11T00:00:00"/>
  </r>
  <r>
    <n v="2040919"/>
    <m/>
    <x v="1"/>
    <x v="1"/>
    <s v="Phone Service"/>
    <s v="Diego"/>
    <x v="0"/>
    <s v="Corporate Tools"/>
    <s v="note"/>
    <s v="Customer"/>
    <x v="2"/>
    <x v="2"/>
    <m/>
    <m/>
    <d v="2023-05-16T00:00:00"/>
    <x v="4"/>
    <x v="3"/>
    <d v="2023-04-21T00:00:00"/>
    <d v="2023-04-19T00:00:00"/>
  </r>
  <r>
    <n v="2314558"/>
    <m/>
    <x v="1"/>
    <x v="2"/>
    <s v="Phone Service"/>
    <s v="Diego"/>
    <x v="3"/>
    <s v="Corporate Tools"/>
    <s v="note"/>
    <s v="Customer"/>
    <x v="0"/>
    <x v="3"/>
    <m/>
    <m/>
    <d v="2023-03-12T00:00:00"/>
    <x v="7"/>
    <x v="0"/>
    <d v="2023-06-16T00:00:00"/>
    <d v="2023-03-11T00:00:00"/>
  </r>
  <r>
    <n v="2075917"/>
    <m/>
    <x v="2"/>
    <x v="1"/>
    <s v="Phone Service"/>
    <s v="Diego"/>
    <x v="2"/>
    <s v="Corporate Tools"/>
    <s v="note"/>
    <s v="Customer"/>
    <x v="3"/>
    <x v="14"/>
    <m/>
    <m/>
    <d v="2023-10-12T00:00:00"/>
    <x v="3"/>
    <x v="2"/>
    <d v="2023-04-26T00:00:00"/>
    <d v="2023-08-21T00:00:00"/>
  </r>
  <r>
    <n v="2677145"/>
    <m/>
    <x v="2"/>
    <x v="1"/>
    <s v="Phone Service"/>
    <s v="Diego"/>
    <x v="2"/>
    <s v="Corporate Tools"/>
    <s v="note"/>
    <s v="Customer"/>
    <x v="0"/>
    <x v="8"/>
    <m/>
    <m/>
    <d v="2023-03-21T00:00:00"/>
    <x v="7"/>
    <x v="0"/>
    <d v="2023-06-08T00:00:00"/>
    <d v="2023-04-26T00:00:00"/>
  </r>
  <r>
    <n v="2877957"/>
    <m/>
    <x v="2"/>
    <x v="0"/>
    <s v="Phone Service"/>
    <s v="Diego"/>
    <x v="3"/>
    <s v="Corporate Tools"/>
    <s v="note"/>
    <s v="Customer"/>
    <x v="2"/>
    <x v="13"/>
    <m/>
    <m/>
    <d v="2023-11-29T00:00:00"/>
    <x v="9"/>
    <x v="2"/>
    <d v="2023-12-06T00:00:00"/>
    <d v="2023-12-28T00:00:00"/>
  </r>
  <r>
    <n v="2059250"/>
    <m/>
    <x v="1"/>
    <x v="1"/>
    <s v="Phone Service"/>
    <s v="Diego"/>
    <x v="0"/>
    <s v="Corporate Tools"/>
    <s v="note"/>
    <s v="Customer"/>
    <x v="0"/>
    <x v="0"/>
    <m/>
    <m/>
    <d v="2023-12-06T00:00:00"/>
    <x v="10"/>
    <x v="2"/>
    <d v="2023-09-19T00:00:00"/>
    <d v="2023-06-07T00:00:00"/>
  </r>
  <r>
    <n v="2592211"/>
    <m/>
    <x v="1"/>
    <x v="1"/>
    <s v="Phone Service"/>
    <s v="Diego"/>
    <x v="2"/>
    <s v="Corporate Tools"/>
    <s v="note"/>
    <s v="Customer"/>
    <x v="2"/>
    <x v="8"/>
    <m/>
    <m/>
    <d v="2023-09-12T00:00:00"/>
    <x v="1"/>
    <x v="1"/>
    <d v="2023-09-05T00:00:00"/>
    <d v="2023-03-03T00:00:00"/>
  </r>
  <r>
    <n v="2185189"/>
    <m/>
    <x v="1"/>
    <x v="2"/>
    <s v="Phone Service"/>
    <s v="Diego"/>
    <x v="3"/>
    <s v="Corporate Tools"/>
    <s v="note"/>
    <s v="Customer"/>
    <x v="0"/>
    <x v="13"/>
    <m/>
    <m/>
    <d v="2023-03-01T00:00:00"/>
    <x v="7"/>
    <x v="0"/>
    <d v="2023-03-29T00:00:00"/>
    <d v="2023-12-21T00:00:00"/>
  </r>
  <r>
    <n v="2565927"/>
    <m/>
    <x v="0"/>
    <x v="1"/>
    <s v="Phone Service"/>
    <s v="Diego"/>
    <x v="1"/>
    <s v="Corporate Tools"/>
    <s v="note"/>
    <s v="Customer"/>
    <x v="1"/>
    <x v="14"/>
    <m/>
    <m/>
    <d v="2023-09-05T00:00:00"/>
    <x v="1"/>
    <x v="1"/>
    <d v="2023-06-16T00:00:00"/>
    <d v="2023-01-07T00:00:00"/>
  </r>
  <r>
    <n v="2711008"/>
    <m/>
    <x v="2"/>
    <x v="1"/>
    <s v="Phone Service"/>
    <s v="Diego"/>
    <x v="0"/>
    <s v="Corporate Tools"/>
    <s v="note"/>
    <s v="Customer"/>
    <x v="2"/>
    <x v="0"/>
    <m/>
    <m/>
    <d v="2023-11-03T00:00:00"/>
    <x v="9"/>
    <x v="2"/>
    <d v="2023-11-24T00:00:00"/>
    <d v="2023-04-02T00:00:00"/>
  </r>
  <r>
    <n v="2456979"/>
    <m/>
    <x v="0"/>
    <x v="0"/>
    <s v="Phone Service"/>
    <s v="Diego"/>
    <x v="1"/>
    <s v="Corporate Tools"/>
    <s v="note"/>
    <s v="Customer"/>
    <x v="3"/>
    <x v="1"/>
    <m/>
    <m/>
    <d v="2023-07-10T00:00:00"/>
    <x v="2"/>
    <x v="1"/>
    <d v="2024-01-07T00:00:00"/>
    <d v="2023-01-21T00:00:00"/>
  </r>
  <r>
    <n v="2158914"/>
    <m/>
    <x v="2"/>
    <x v="2"/>
    <s v="Phone Service"/>
    <s v="Diego"/>
    <x v="3"/>
    <s v="Corporate Tools"/>
    <s v="note"/>
    <s v="Customer"/>
    <x v="2"/>
    <x v="13"/>
    <m/>
    <m/>
    <d v="2023-09-26T00:00:00"/>
    <x v="1"/>
    <x v="1"/>
    <d v="2023-01-03T00:00:00"/>
    <d v="2023-07-31T00:00:00"/>
  </r>
  <r>
    <n v="2684198"/>
    <m/>
    <x v="2"/>
    <x v="2"/>
    <s v="Phone Service"/>
    <s v="Diego"/>
    <x v="1"/>
    <s v="Corporate Tools"/>
    <s v="note"/>
    <s v="Customer"/>
    <x v="1"/>
    <x v="15"/>
    <m/>
    <m/>
    <d v="2023-10-08T00:00:00"/>
    <x v="3"/>
    <x v="2"/>
    <d v="2023-10-25T00:00:00"/>
    <d v="2023-12-13T00:00:00"/>
  </r>
  <r>
    <n v="2813605"/>
    <m/>
    <x v="1"/>
    <x v="1"/>
    <s v="Phone Service"/>
    <s v="Diego"/>
    <x v="2"/>
    <s v="Corporate Tools"/>
    <s v="note"/>
    <s v="Customer"/>
    <x v="1"/>
    <x v="7"/>
    <m/>
    <m/>
    <d v="2023-05-17T00:00:00"/>
    <x v="4"/>
    <x v="3"/>
    <d v="2023-04-01T00:00:00"/>
    <d v="2023-04-18T00:00:00"/>
  </r>
  <r>
    <n v="2516153"/>
    <m/>
    <x v="2"/>
    <x v="1"/>
    <s v="Phone Service"/>
    <s v="Diego"/>
    <x v="0"/>
    <s v="Corporate Tools"/>
    <s v="note"/>
    <s v="Customer"/>
    <x v="3"/>
    <x v="15"/>
    <m/>
    <m/>
    <d v="2023-08-08T00:00:00"/>
    <x v="8"/>
    <x v="1"/>
    <d v="2023-11-28T00:00:00"/>
    <d v="2023-12-24T00:00:00"/>
  </r>
  <r>
    <n v="2240059"/>
    <m/>
    <x v="0"/>
    <x v="1"/>
    <s v="Phone Service"/>
    <s v="Diego"/>
    <x v="2"/>
    <s v="Corporate Tools"/>
    <s v="note"/>
    <s v="Customer"/>
    <x v="0"/>
    <x v="0"/>
    <m/>
    <m/>
    <d v="2023-02-02T00:00:00"/>
    <x v="11"/>
    <x v="0"/>
    <d v="2023-07-13T00:00:00"/>
    <d v="2023-08-08T00:00:00"/>
  </r>
  <r>
    <n v="2855250"/>
    <m/>
    <x v="1"/>
    <x v="2"/>
    <s v="Phone Service"/>
    <s v="Diego"/>
    <x v="3"/>
    <s v="Corporate Tools"/>
    <s v="note"/>
    <s v="Customer"/>
    <x v="0"/>
    <x v="8"/>
    <m/>
    <m/>
    <d v="2023-12-29T00:00:00"/>
    <x v="10"/>
    <x v="2"/>
    <d v="2023-11-10T00:00:00"/>
    <d v="2023-06-14T00:00:00"/>
  </r>
  <r>
    <n v="2777997"/>
    <m/>
    <x v="0"/>
    <x v="2"/>
    <s v="Phone Service"/>
    <s v="Diego"/>
    <x v="2"/>
    <s v="Corporate Tools"/>
    <s v="note"/>
    <s v="Customer"/>
    <x v="2"/>
    <x v="11"/>
    <m/>
    <m/>
    <d v="2023-07-18T00:00:00"/>
    <x v="2"/>
    <x v="1"/>
    <d v="2023-02-17T00:00:00"/>
    <d v="2023-01-25T00:00:00"/>
  </r>
  <r>
    <n v="2252196"/>
    <m/>
    <x v="0"/>
    <x v="1"/>
    <s v="Phone Service"/>
    <s v="Diego"/>
    <x v="2"/>
    <s v="Corporate Tools"/>
    <s v="note"/>
    <s v="Customer"/>
    <x v="2"/>
    <x v="2"/>
    <m/>
    <m/>
    <d v="2023-01-27T00:00:00"/>
    <x v="0"/>
    <x v="0"/>
    <d v="2023-07-29T00:00:00"/>
    <d v="2023-07-18T00:00:00"/>
  </r>
  <r>
    <n v="2538245"/>
    <m/>
    <x v="0"/>
    <x v="1"/>
    <s v="Phone Service"/>
    <s v="Diego"/>
    <x v="3"/>
    <s v="Corporate Tools"/>
    <s v="note"/>
    <s v="Customer"/>
    <x v="2"/>
    <x v="1"/>
    <m/>
    <m/>
    <d v="2023-12-23T00:00:00"/>
    <x v="10"/>
    <x v="2"/>
    <d v="2023-12-25T00:00:00"/>
    <d v="2023-09-10T00:00:00"/>
  </r>
  <r>
    <n v="2291047"/>
    <m/>
    <x v="0"/>
    <x v="1"/>
    <s v="Phone Service"/>
    <s v="Diego"/>
    <x v="3"/>
    <s v="Corporate Tools"/>
    <s v="note"/>
    <s v="Customer"/>
    <x v="3"/>
    <x v="2"/>
    <m/>
    <m/>
    <d v="2023-03-24T00:00:00"/>
    <x v="7"/>
    <x v="0"/>
    <d v="2023-02-27T00:00:00"/>
    <d v="2023-04-14T00:00:00"/>
  </r>
  <r>
    <n v="2999396"/>
    <m/>
    <x v="0"/>
    <x v="0"/>
    <s v="Phone Service"/>
    <s v="Diego"/>
    <x v="3"/>
    <s v="Corporate Tools"/>
    <s v="note"/>
    <s v="Customer"/>
    <x v="2"/>
    <x v="14"/>
    <m/>
    <m/>
    <d v="2023-09-29T00:00:00"/>
    <x v="1"/>
    <x v="1"/>
    <d v="2023-06-25T00:00:00"/>
    <d v="2023-11-22T00:00:00"/>
  </r>
  <r>
    <n v="2535749"/>
    <m/>
    <x v="1"/>
    <x v="2"/>
    <s v="Phone Service"/>
    <s v="Diego"/>
    <x v="2"/>
    <s v="Corporate Tools"/>
    <s v="note"/>
    <s v="Customer"/>
    <x v="2"/>
    <x v="9"/>
    <m/>
    <m/>
    <d v="2023-01-08T00:00:00"/>
    <x v="0"/>
    <x v="0"/>
    <d v="2023-10-11T00:00:00"/>
    <d v="2023-10-20T00:00:00"/>
  </r>
  <r>
    <n v="2515634"/>
    <m/>
    <x v="2"/>
    <x v="0"/>
    <s v="Phone Service"/>
    <s v="Diego"/>
    <x v="3"/>
    <s v="Corporate Tools"/>
    <s v="note"/>
    <s v="Customer"/>
    <x v="2"/>
    <x v="4"/>
    <m/>
    <m/>
    <d v="2023-09-02T00:00:00"/>
    <x v="1"/>
    <x v="1"/>
    <d v="2023-08-14T00:00:00"/>
    <d v="2023-07-08T00:00:00"/>
  </r>
  <r>
    <n v="2101029"/>
    <m/>
    <x v="2"/>
    <x v="0"/>
    <s v="Phone Service"/>
    <s v="Diego"/>
    <x v="3"/>
    <s v="Corporate Tools"/>
    <s v="note"/>
    <s v="Customer"/>
    <x v="3"/>
    <x v="6"/>
    <m/>
    <m/>
    <d v="2023-01-19T00:00:00"/>
    <x v="0"/>
    <x v="0"/>
    <d v="2023-03-26T00:00:00"/>
    <d v="2023-04-03T00:00:00"/>
  </r>
  <r>
    <n v="2462869"/>
    <m/>
    <x v="1"/>
    <x v="1"/>
    <s v="Phone Service"/>
    <s v="Diego"/>
    <x v="3"/>
    <s v="Corporate Tools"/>
    <s v="note"/>
    <s v="Customer"/>
    <x v="0"/>
    <x v="3"/>
    <m/>
    <m/>
    <d v="2023-03-02T00:00:00"/>
    <x v="7"/>
    <x v="0"/>
    <d v="2023-12-18T00:00:00"/>
    <d v="2023-12-19T00:00:00"/>
  </r>
  <r>
    <n v="2578234"/>
    <m/>
    <x v="1"/>
    <x v="0"/>
    <s v="Phone Service"/>
    <s v="Diego"/>
    <x v="3"/>
    <s v="Corporate Tools"/>
    <s v="note"/>
    <s v="Customer"/>
    <x v="2"/>
    <x v="14"/>
    <m/>
    <m/>
    <d v="2023-08-04T00:00:00"/>
    <x v="8"/>
    <x v="1"/>
    <d v="2023-12-01T00:00:00"/>
    <d v="2023-06-10T00:00:00"/>
  </r>
  <r>
    <n v="2066317"/>
    <m/>
    <x v="1"/>
    <x v="0"/>
    <s v="Phone Service"/>
    <s v="Diego"/>
    <x v="1"/>
    <s v="Corporate Tools"/>
    <s v="note"/>
    <s v="Customer"/>
    <x v="2"/>
    <x v="3"/>
    <m/>
    <m/>
    <d v="2023-07-05T00:00:00"/>
    <x v="2"/>
    <x v="1"/>
    <d v="2023-02-20T00:00:00"/>
    <d v="2023-08-13T00:00:00"/>
  </r>
  <r>
    <n v="2319376"/>
    <m/>
    <x v="2"/>
    <x v="0"/>
    <s v="Phone Service"/>
    <s v="Diego"/>
    <x v="0"/>
    <s v="Corporate Tools"/>
    <s v="note"/>
    <s v="Customer"/>
    <x v="3"/>
    <x v="3"/>
    <m/>
    <m/>
    <d v="2023-09-21T00:00:00"/>
    <x v="1"/>
    <x v="1"/>
    <d v="2023-10-14T00:00:00"/>
    <d v="2023-01-07T00:00:00"/>
  </r>
  <r>
    <n v="2909008"/>
    <m/>
    <x v="1"/>
    <x v="0"/>
    <s v="Phone Service"/>
    <s v="Diego"/>
    <x v="3"/>
    <s v="Corporate Tools"/>
    <s v="note"/>
    <s v="Customer"/>
    <x v="0"/>
    <x v="6"/>
    <m/>
    <m/>
    <d v="2023-05-17T00:00:00"/>
    <x v="4"/>
    <x v="3"/>
    <d v="2023-08-17T00:00:00"/>
    <d v="2023-08-27T00:00:00"/>
  </r>
  <r>
    <n v="2360742"/>
    <m/>
    <x v="1"/>
    <x v="2"/>
    <s v="Phone Service"/>
    <s v="Diego"/>
    <x v="1"/>
    <s v="Corporate Tools"/>
    <s v="note"/>
    <s v="Customer"/>
    <x v="2"/>
    <x v="12"/>
    <m/>
    <m/>
    <d v="2023-11-15T00:00:00"/>
    <x v="9"/>
    <x v="2"/>
    <d v="2023-08-15T00:00:00"/>
    <d v="2023-05-10T00:00:00"/>
  </r>
  <r>
    <n v="2562948"/>
    <m/>
    <x v="2"/>
    <x v="1"/>
    <s v="Phone Service"/>
    <s v="Diego"/>
    <x v="3"/>
    <s v="Corporate Tools"/>
    <s v="note"/>
    <s v="Customer"/>
    <x v="2"/>
    <x v="11"/>
    <m/>
    <m/>
    <d v="2023-08-24T00:00:00"/>
    <x v="8"/>
    <x v="1"/>
    <d v="2023-12-30T00:00:00"/>
    <d v="2023-12-17T00:00:00"/>
  </r>
  <r>
    <n v="2257169"/>
    <m/>
    <x v="0"/>
    <x v="0"/>
    <s v="Phone Service"/>
    <s v="Diego"/>
    <x v="1"/>
    <s v="Corporate Tools"/>
    <s v="note"/>
    <s v="Customer"/>
    <x v="0"/>
    <x v="0"/>
    <m/>
    <m/>
    <d v="2023-10-04T00:00:00"/>
    <x v="3"/>
    <x v="2"/>
    <d v="2023-10-14T00:00:00"/>
    <d v="2024-01-05T00:00:00"/>
  </r>
  <r>
    <n v="2546901"/>
    <m/>
    <x v="2"/>
    <x v="2"/>
    <s v="Phone Service"/>
    <s v="Diego"/>
    <x v="3"/>
    <s v="Corporate Tools"/>
    <s v="note"/>
    <s v="Customer"/>
    <x v="3"/>
    <x v="4"/>
    <m/>
    <m/>
    <d v="2023-01-26T00:00:00"/>
    <x v="0"/>
    <x v="0"/>
    <d v="2023-01-26T00:00:00"/>
    <d v="2023-08-11T00:00:00"/>
  </r>
  <r>
    <n v="2211799"/>
    <m/>
    <x v="2"/>
    <x v="2"/>
    <s v="Phone Service"/>
    <s v="Diego"/>
    <x v="3"/>
    <s v="Corporate Tools"/>
    <s v="note"/>
    <s v="Customer"/>
    <x v="1"/>
    <x v="5"/>
    <m/>
    <m/>
    <d v="2023-09-24T00:00:00"/>
    <x v="1"/>
    <x v="1"/>
    <d v="2023-02-04T00:00:00"/>
    <d v="2023-02-04T00:00:00"/>
  </r>
  <r>
    <n v="2963367"/>
    <m/>
    <x v="2"/>
    <x v="2"/>
    <s v="Phone Service"/>
    <s v="Diego"/>
    <x v="1"/>
    <s v="Corporate Tools"/>
    <s v="note"/>
    <s v="Customer"/>
    <x v="0"/>
    <x v="14"/>
    <m/>
    <m/>
    <d v="2023-06-25T00:00:00"/>
    <x v="6"/>
    <x v="3"/>
    <d v="2023-09-28T00:00:00"/>
    <d v="2023-09-20T00:00:00"/>
  </r>
  <r>
    <n v="2501449"/>
    <m/>
    <x v="1"/>
    <x v="2"/>
    <s v="Phone Service"/>
    <s v="Diego"/>
    <x v="2"/>
    <s v="Corporate Tools"/>
    <s v="note"/>
    <s v="Customer"/>
    <x v="0"/>
    <x v="13"/>
    <m/>
    <m/>
    <d v="2023-06-19T00:00:00"/>
    <x v="6"/>
    <x v="3"/>
    <d v="2023-09-17T00:00:00"/>
    <d v="2023-09-12T00:00:00"/>
  </r>
  <r>
    <n v="2763472"/>
    <m/>
    <x v="0"/>
    <x v="2"/>
    <s v="Phone Service"/>
    <s v="Diego"/>
    <x v="1"/>
    <s v="Corporate Tools"/>
    <s v="note"/>
    <s v="Customer"/>
    <x v="0"/>
    <x v="5"/>
    <m/>
    <m/>
    <d v="2023-04-24T00:00:00"/>
    <x v="5"/>
    <x v="3"/>
    <d v="2023-11-29T00:00:00"/>
    <d v="2023-04-23T00:00:00"/>
  </r>
  <r>
    <n v="2878082"/>
    <m/>
    <x v="1"/>
    <x v="0"/>
    <s v="Phone Service"/>
    <s v="Diego"/>
    <x v="1"/>
    <s v="Corporate Tools"/>
    <s v="note"/>
    <s v="Customer"/>
    <x v="2"/>
    <x v="0"/>
    <m/>
    <m/>
    <d v="2023-01-16T00:00:00"/>
    <x v="0"/>
    <x v="0"/>
    <d v="2023-03-09T00:00:00"/>
    <d v="2023-12-08T00:00:00"/>
  </r>
  <r>
    <n v="2148187"/>
    <m/>
    <x v="0"/>
    <x v="0"/>
    <s v="Phone Service"/>
    <s v="Diego"/>
    <x v="3"/>
    <s v="Corporate Tools"/>
    <s v="note"/>
    <s v="Customer"/>
    <x v="3"/>
    <x v="8"/>
    <m/>
    <m/>
    <d v="2023-04-21T00:00:00"/>
    <x v="5"/>
    <x v="3"/>
    <d v="2023-06-11T00:00:00"/>
    <d v="2023-08-29T00:00:00"/>
  </r>
  <r>
    <n v="2042536"/>
    <m/>
    <x v="0"/>
    <x v="1"/>
    <s v="Phone Service"/>
    <s v="Diego"/>
    <x v="0"/>
    <s v="Corporate Tools"/>
    <s v="note"/>
    <s v="Customer"/>
    <x v="3"/>
    <x v="15"/>
    <m/>
    <m/>
    <d v="2023-04-02T00:00:00"/>
    <x v="5"/>
    <x v="3"/>
    <d v="2023-07-05T00:00:00"/>
    <d v="2023-04-19T00:00:00"/>
  </r>
  <r>
    <n v="2562581"/>
    <m/>
    <x v="1"/>
    <x v="2"/>
    <s v="Phone Service"/>
    <s v="Diego"/>
    <x v="2"/>
    <s v="Corporate Tools"/>
    <s v="note"/>
    <s v="Customer"/>
    <x v="1"/>
    <x v="0"/>
    <m/>
    <m/>
    <d v="2023-07-25T00:00:00"/>
    <x v="2"/>
    <x v="1"/>
    <d v="2023-08-01T00:00:00"/>
    <d v="2023-10-22T00:00:00"/>
  </r>
  <r>
    <n v="2607540"/>
    <m/>
    <x v="2"/>
    <x v="0"/>
    <s v="Phone Service"/>
    <s v="Diego"/>
    <x v="2"/>
    <s v="Corporate Tools"/>
    <s v="note"/>
    <s v="Customer"/>
    <x v="3"/>
    <x v="1"/>
    <m/>
    <m/>
    <d v="2023-04-19T00:00:00"/>
    <x v="5"/>
    <x v="3"/>
    <d v="2023-10-18T00:00:00"/>
    <d v="2023-08-20T00:00:00"/>
  </r>
  <r>
    <n v="2542145"/>
    <m/>
    <x v="1"/>
    <x v="2"/>
    <s v="Phone Service"/>
    <s v="Diego"/>
    <x v="1"/>
    <s v="Corporate Tools"/>
    <s v="note"/>
    <s v="Customer"/>
    <x v="3"/>
    <x v="14"/>
    <m/>
    <m/>
    <d v="2023-10-19T00:00:00"/>
    <x v="3"/>
    <x v="2"/>
    <d v="2023-03-02T00:00:00"/>
    <d v="2023-01-03T00:00:00"/>
  </r>
  <r>
    <n v="2530936"/>
    <m/>
    <x v="2"/>
    <x v="1"/>
    <s v="Phone Service"/>
    <s v="Diego"/>
    <x v="1"/>
    <s v="Corporate Tools"/>
    <s v="note"/>
    <s v="Customer"/>
    <x v="1"/>
    <x v="12"/>
    <m/>
    <m/>
    <d v="2023-07-01T00:00:00"/>
    <x v="2"/>
    <x v="1"/>
    <d v="2023-06-02T00:00:00"/>
    <d v="2023-03-15T00:00:00"/>
  </r>
  <r>
    <n v="2750405"/>
    <m/>
    <x v="0"/>
    <x v="2"/>
    <s v="Phone Service"/>
    <s v="Diego"/>
    <x v="2"/>
    <s v="Corporate Tools"/>
    <s v="note"/>
    <s v="Customer"/>
    <x v="1"/>
    <x v="4"/>
    <m/>
    <m/>
    <d v="2023-01-29T00:00:00"/>
    <x v="0"/>
    <x v="0"/>
    <d v="2023-11-06T00:00:00"/>
    <d v="2023-09-03T00:00:00"/>
  </r>
  <r>
    <n v="2231110"/>
    <m/>
    <x v="2"/>
    <x v="2"/>
    <s v="Phone Service"/>
    <s v="Diego"/>
    <x v="1"/>
    <s v="Corporate Tools"/>
    <s v="note"/>
    <s v="Customer"/>
    <x v="0"/>
    <x v="13"/>
    <m/>
    <m/>
    <d v="2023-12-28T00:00:00"/>
    <x v="10"/>
    <x v="2"/>
    <d v="2023-11-01T00:00:00"/>
    <d v="2023-04-19T00:00:00"/>
  </r>
  <r>
    <n v="2329879"/>
    <m/>
    <x v="0"/>
    <x v="1"/>
    <s v="Phone Service"/>
    <s v="Diego"/>
    <x v="0"/>
    <s v="Corporate Tools"/>
    <s v="note"/>
    <s v="Customer"/>
    <x v="0"/>
    <x v="5"/>
    <m/>
    <m/>
    <d v="2023-01-17T00:00:00"/>
    <x v="0"/>
    <x v="0"/>
    <d v="2023-10-09T00:00:00"/>
    <d v="2023-04-06T00:00:00"/>
  </r>
  <r>
    <n v="2139579"/>
    <m/>
    <x v="1"/>
    <x v="0"/>
    <s v="Phone Service"/>
    <s v="Diego"/>
    <x v="2"/>
    <s v="Corporate Tools"/>
    <s v="note"/>
    <s v="Customer"/>
    <x v="3"/>
    <x v="3"/>
    <m/>
    <m/>
    <d v="2023-10-07T00:00:00"/>
    <x v="3"/>
    <x v="2"/>
    <d v="2023-05-08T00:00:00"/>
    <d v="2023-09-03T00:00:00"/>
  </r>
  <r>
    <n v="2277102"/>
    <m/>
    <x v="1"/>
    <x v="1"/>
    <s v="Phone Service"/>
    <s v="Diego"/>
    <x v="1"/>
    <s v="Corporate Tools"/>
    <s v="note"/>
    <s v="Customer"/>
    <x v="1"/>
    <x v="7"/>
    <m/>
    <m/>
    <d v="2023-08-11T00:00:00"/>
    <x v="8"/>
    <x v="1"/>
    <d v="2023-01-10T00:00:00"/>
    <d v="2023-05-08T00:00:00"/>
  </r>
  <r>
    <n v="2354766"/>
    <m/>
    <x v="2"/>
    <x v="0"/>
    <s v="Phone Service"/>
    <s v="Diego"/>
    <x v="0"/>
    <s v="Corporate Tools"/>
    <s v="note"/>
    <s v="Customer"/>
    <x v="0"/>
    <x v="13"/>
    <m/>
    <m/>
    <d v="2023-06-24T00:00:00"/>
    <x v="6"/>
    <x v="3"/>
    <d v="2023-02-19T00:00:00"/>
    <d v="2023-11-18T00:00:00"/>
  </r>
  <r>
    <n v="2010299"/>
    <m/>
    <x v="1"/>
    <x v="0"/>
    <s v="Phone Service"/>
    <s v="Diego"/>
    <x v="0"/>
    <s v="Corporate Tools"/>
    <s v="note"/>
    <s v="Customer"/>
    <x v="1"/>
    <x v="6"/>
    <m/>
    <m/>
    <d v="2023-11-02T00:00:00"/>
    <x v="9"/>
    <x v="2"/>
    <d v="2023-10-25T00:00:00"/>
    <d v="2023-04-15T00:00:00"/>
  </r>
  <r>
    <n v="2815012"/>
    <m/>
    <x v="1"/>
    <x v="1"/>
    <s v="Phone Service"/>
    <s v="Diego"/>
    <x v="1"/>
    <s v="Corporate Tools"/>
    <s v="note"/>
    <s v="Customer"/>
    <x v="3"/>
    <x v="0"/>
    <m/>
    <m/>
    <d v="2023-07-21T00:00:00"/>
    <x v="2"/>
    <x v="1"/>
    <d v="2023-09-11T00:00:00"/>
    <d v="2023-06-15T00:00:00"/>
  </r>
  <r>
    <n v="2596362"/>
    <m/>
    <x v="0"/>
    <x v="1"/>
    <s v="Phone Service"/>
    <s v="Diego"/>
    <x v="2"/>
    <s v="Corporate Tools"/>
    <s v="note"/>
    <s v="Customer"/>
    <x v="0"/>
    <x v="12"/>
    <m/>
    <m/>
    <d v="2023-11-28T00:00:00"/>
    <x v="9"/>
    <x v="2"/>
    <d v="2023-03-31T00:00:00"/>
    <d v="2023-01-13T00:00:00"/>
  </r>
  <r>
    <n v="2783805"/>
    <m/>
    <x v="0"/>
    <x v="1"/>
    <s v="Phone Service"/>
    <s v="Diego"/>
    <x v="3"/>
    <s v="Corporate Tools"/>
    <s v="note"/>
    <s v="Customer"/>
    <x v="2"/>
    <x v="12"/>
    <m/>
    <m/>
    <d v="2023-08-07T00:00:00"/>
    <x v="8"/>
    <x v="1"/>
    <d v="2023-02-10T00:00:00"/>
    <d v="2023-05-26T00:00:00"/>
  </r>
  <r>
    <n v="2436444"/>
    <m/>
    <x v="2"/>
    <x v="0"/>
    <s v="Phone Service"/>
    <s v="Diego"/>
    <x v="0"/>
    <s v="Corporate Tools"/>
    <s v="note"/>
    <s v="Customer"/>
    <x v="2"/>
    <x v="14"/>
    <m/>
    <m/>
    <d v="2023-11-16T00:00:00"/>
    <x v="9"/>
    <x v="2"/>
    <d v="2023-12-27T00:00:00"/>
    <d v="2023-01-03T00:00:00"/>
  </r>
  <r>
    <n v="2609511"/>
    <m/>
    <x v="1"/>
    <x v="2"/>
    <s v="Phone Service"/>
    <s v="Diego"/>
    <x v="0"/>
    <s v="Corporate Tools"/>
    <s v="note"/>
    <s v="Customer"/>
    <x v="3"/>
    <x v="9"/>
    <m/>
    <m/>
    <d v="2023-04-02T00:00:00"/>
    <x v="5"/>
    <x v="3"/>
    <d v="2023-01-26T00:00:00"/>
    <d v="2023-06-29T00:00:00"/>
  </r>
  <r>
    <n v="2397433"/>
    <m/>
    <x v="2"/>
    <x v="2"/>
    <s v="Phone Service"/>
    <s v="Diego"/>
    <x v="1"/>
    <s v="Corporate Tools"/>
    <s v="note"/>
    <s v="Customer"/>
    <x v="1"/>
    <x v="9"/>
    <m/>
    <m/>
    <d v="2023-11-16T00:00:00"/>
    <x v="9"/>
    <x v="2"/>
    <d v="2023-06-26T00:00:00"/>
    <d v="2023-12-05T00:00:00"/>
  </r>
  <r>
    <n v="2869743"/>
    <m/>
    <x v="1"/>
    <x v="0"/>
    <s v="Phone Service"/>
    <s v="Diego"/>
    <x v="3"/>
    <s v="Corporate Tools"/>
    <s v="note"/>
    <s v="Customer"/>
    <x v="1"/>
    <x v="6"/>
    <m/>
    <m/>
    <d v="2023-02-11T00:00:00"/>
    <x v="11"/>
    <x v="0"/>
    <d v="2023-06-02T00:00:00"/>
    <d v="2023-06-22T00:00:00"/>
  </r>
  <r>
    <n v="2663834"/>
    <m/>
    <x v="1"/>
    <x v="1"/>
    <s v="Phone Service"/>
    <s v="Diego"/>
    <x v="3"/>
    <s v="Corporate Tools"/>
    <s v="note"/>
    <s v="Customer"/>
    <x v="0"/>
    <x v="1"/>
    <m/>
    <m/>
    <d v="2023-06-05T00:00:00"/>
    <x v="6"/>
    <x v="3"/>
    <d v="2023-10-08T00:00:00"/>
    <d v="2023-12-12T00:00:00"/>
  </r>
  <r>
    <n v="2364552"/>
    <m/>
    <x v="2"/>
    <x v="0"/>
    <s v="Phone Service"/>
    <s v="Diego"/>
    <x v="1"/>
    <s v="Corporate Tools"/>
    <s v="note"/>
    <s v="Customer"/>
    <x v="2"/>
    <x v="6"/>
    <m/>
    <m/>
    <d v="2023-11-18T00:00:00"/>
    <x v="9"/>
    <x v="2"/>
    <d v="2023-03-02T00:00:00"/>
    <d v="2023-07-12T00:00:00"/>
  </r>
  <r>
    <n v="2936310"/>
    <m/>
    <x v="0"/>
    <x v="1"/>
    <s v="Phone Service"/>
    <s v="Diego"/>
    <x v="1"/>
    <s v="Corporate Tools"/>
    <s v="note"/>
    <s v="Customer"/>
    <x v="2"/>
    <x v="8"/>
    <m/>
    <m/>
    <d v="2023-10-28T00:00:00"/>
    <x v="3"/>
    <x v="2"/>
    <d v="2023-08-22T00:00:00"/>
    <d v="2023-12-03T00:00:00"/>
  </r>
  <r>
    <n v="2464789"/>
    <m/>
    <x v="2"/>
    <x v="1"/>
    <s v="Phone Service"/>
    <s v="Diego"/>
    <x v="3"/>
    <s v="Corporate Tools"/>
    <s v="note"/>
    <s v="Customer"/>
    <x v="2"/>
    <x v="9"/>
    <m/>
    <m/>
    <d v="2023-04-01T00:00:00"/>
    <x v="5"/>
    <x v="3"/>
    <d v="2023-05-28T00:00:00"/>
    <d v="2023-08-10T00:00:00"/>
  </r>
  <r>
    <n v="2142260"/>
    <m/>
    <x v="0"/>
    <x v="2"/>
    <s v="Phone Service"/>
    <s v="Diego"/>
    <x v="2"/>
    <s v="Corporate Tools"/>
    <s v="note"/>
    <s v="Customer"/>
    <x v="0"/>
    <x v="13"/>
    <m/>
    <m/>
    <d v="2023-06-20T00:00:00"/>
    <x v="6"/>
    <x v="3"/>
    <d v="2023-08-22T00:00:00"/>
    <d v="2023-12-20T00:00:00"/>
  </r>
  <r>
    <n v="2182369"/>
    <m/>
    <x v="1"/>
    <x v="2"/>
    <s v="Phone Service"/>
    <s v="Diego"/>
    <x v="0"/>
    <s v="Corporate Tools"/>
    <s v="note"/>
    <s v="Customer"/>
    <x v="2"/>
    <x v="6"/>
    <m/>
    <m/>
    <d v="2024-01-02T00:00:00"/>
    <x v="0"/>
    <x v="0"/>
    <d v="2023-04-19T00:00:00"/>
    <d v="2023-01-18T00:00:00"/>
  </r>
  <r>
    <n v="2685332"/>
    <m/>
    <x v="2"/>
    <x v="0"/>
    <s v="Phone Service"/>
    <s v="Diego"/>
    <x v="1"/>
    <s v="Corporate Tools"/>
    <s v="note"/>
    <s v="Customer"/>
    <x v="2"/>
    <x v="6"/>
    <m/>
    <m/>
    <d v="2023-02-17T00:00:00"/>
    <x v="11"/>
    <x v="0"/>
    <d v="2023-08-30T00:00:00"/>
    <d v="2023-01-28T00:00:00"/>
  </r>
  <r>
    <n v="2773720"/>
    <m/>
    <x v="1"/>
    <x v="2"/>
    <s v="Phone Service"/>
    <s v="Diego"/>
    <x v="1"/>
    <s v="Corporate Tools"/>
    <s v="note"/>
    <s v="Customer"/>
    <x v="1"/>
    <x v="12"/>
    <m/>
    <m/>
    <d v="2024-01-07T00:00:00"/>
    <x v="0"/>
    <x v="0"/>
    <d v="2023-02-15T00:00:00"/>
    <d v="2023-09-05T00:00:00"/>
  </r>
  <r>
    <n v="2443160"/>
    <m/>
    <x v="0"/>
    <x v="2"/>
    <s v="Phone Service"/>
    <s v="Diego"/>
    <x v="0"/>
    <s v="Corporate Tools"/>
    <s v="note"/>
    <s v="Customer"/>
    <x v="0"/>
    <x v="11"/>
    <m/>
    <m/>
    <d v="2023-05-20T00:00:00"/>
    <x v="4"/>
    <x v="3"/>
    <d v="2023-06-30T00:00:00"/>
    <d v="2023-11-12T00:00:00"/>
  </r>
  <r>
    <n v="2889883"/>
    <m/>
    <x v="1"/>
    <x v="2"/>
    <s v="Phone Service"/>
    <s v="Diego"/>
    <x v="1"/>
    <s v="Corporate Tools"/>
    <s v="note"/>
    <s v="Customer"/>
    <x v="2"/>
    <x v="5"/>
    <m/>
    <m/>
    <d v="2023-11-07T00:00:00"/>
    <x v="9"/>
    <x v="2"/>
    <d v="2023-04-06T00:00:00"/>
    <d v="2023-01-03T00:00:00"/>
  </r>
  <r>
    <n v="2924315"/>
    <m/>
    <x v="1"/>
    <x v="0"/>
    <s v="Phone Service"/>
    <s v="Diego"/>
    <x v="1"/>
    <s v="Corporate Tools"/>
    <s v="note"/>
    <s v="Customer"/>
    <x v="3"/>
    <x v="11"/>
    <m/>
    <m/>
    <d v="2023-08-10T00:00:00"/>
    <x v="8"/>
    <x v="1"/>
    <d v="2023-10-09T00:00:00"/>
    <d v="2023-11-10T00:00:00"/>
  </r>
  <r>
    <n v="2212128"/>
    <m/>
    <x v="0"/>
    <x v="0"/>
    <s v="Phone Service"/>
    <s v="Diego"/>
    <x v="0"/>
    <s v="Corporate Tools"/>
    <s v="note"/>
    <s v="Customer"/>
    <x v="2"/>
    <x v="6"/>
    <m/>
    <m/>
    <d v="2023-10-13T00:00:00"/>
    <x v="3"/>
    <x v="2"/>
    <d v="2023-04-20T00:00:00"/>
    <d v="2023-01-12T00:00:00"/>
  </r>
  <r>
    <n v="2421590"/>
    <m/>
    <x v="1"/>
    <x v="2"/>
    <s v="Phone Service"/>
    <s v="Diego"/>
    <x v="0"/>
    <s v="Corporate Tools"/>
    <s v="note"/>
    <s v="Customer"/>
    <x v="3"/>
    <x v="9"/>
    <m/>
    <m/>
    <d v="2023-04-09T00:00:00"/>
    <x v="5"/>
    <x v="3"/>
    <d v="2023-01-10T00:00:00"/>
    <d v="2023-02-07T00:00:00"/>
  </r>
  <r>
    <n v="2809373"/>
    <m/>
    <x v="1"/>
    <x v="2"/>
    <s v="Phone Service"/>
    <s v="Diego"/>
    <x v="1"/>
    <s v="Corporate Tools"/>
    <s v="note"/>
    <s v="Customer"/>
    <x v="0"/>
    <x v="14"/>
    <m/>
    <m/>
    <d v="2023-07-16T00:00:00"/>
    <x v="2"/>
    <x v="1"/>
    <d v="2023-11-15T00:00:00"/>
    <d v="2023-06-29T00:00:00"/>
  </r>
  <r>
    <n v="2381666"/>
    <m/>
    <x v="2"/>
    <x v="0"/>
    <s v="Phone Service"/>
    <s v="Diego"/>
    <x v="0"/>
    <s v="Corporate Tools"/>
    <s v="note"/>
    <s v="Customer"/>
    <x v="2"/>
    <x v="3"/>
    <m/>
    <m/>
    <d v="2023-11-14T00:00:00"/>
    <x v="9"/>
    <x v="2"/>
    <d v="2023-04-22T00:00:00"/>
    <d v="2023-03-26T00:00:00"/>
  </r>
  <r>
    <n v="2599450"/>
    <m/>
    <x v="2"/>
    <x v="1"/>
    <s v="Phone Service"/>
    <s v="Diego"/>
    <x v="2"/>
    <s v="Corporate Tools"/>
    <s v="note"/>
    <s v="Customer"/>
    <x v="1"/>
    <x v="7"/>
    <m/>
    <m/>
    <d v="2024-01-04T00:00:00"/>
    <x v="0"/>
    <x v="0"/>
    <d v="2023-07-09T00:00:00"/>
    <d v="2023-05-27T00:00:00"/>
  </r>
  <r>
    <n v="2212124"/>
    <m/>
    <x v="2"/>
    <x v="0"/>
    <s v="Phone Service"/>
    <s v="Diego"/>
    <x v="0"/>
    <s v="Corporate Tools"/>
    <s v="note"/>
    <s v="Customer"/>
    <x v="0"/>
    <x v="6"/>
    <m/>
    <m/>
    <d v="2023-02-10T00:00:00"/>
    <x v="11"/>
    <x v="0"/>
    <d v="2023-06-05T00:00:00"/>
    <d v="2023-07-25T00:00:00"/>
  </r>
  <r>
    <n v="2556201"/>
    <m/>
    <x v="1"/>
    <x v="0"/>
    <s v="Phone Service"/>
    <s v="Diego"/>
    <x v="1"/>
    <s v="Corporate Tools"/>
    <s v="note"/>
    <s v="Customer"/>
    <x v="1"/>
    <x v="13"/>
    <m/>
    <m/>
    <d v="2023-05-05T00:00:00"/>
    <x v="4"/>
    <x v="3"/>
    <d v="2023-09-12T00:00:00"/>
    <d v="2023-01-06T00:00:00"/>
  </r>
  <r>
    <n v="2299300"/>
    <m/>
    <x v="2"/>
    <x v="2"/>
    <s v="Phone Service"/>
    <s v="Diego"/>
    <x v="0"/>
    <s v="Corporate Tools"/>
    <s v="note"/>
    <s v="Customer"/>
    <x v="0"/>
    <x v="9"/>
    <m/>
    <m/>
    <d v="2023-10-24T00:00:00"/>
    <x v="3"/>
    <x v="2"/>
    <d v="2023-06-10T00:00:00"/>
    <d v="2023-04-02T00:00:00"/>
  </r>
  <r>
    <n v="2237307"/>
    <m/>
    <x v="0"/>
    <x v="2"/>
    <s v="Phone Service"/>
    <s v="Diego"/>
    <x v="2"/>
    <s v="Corporate Tools"/>
    <s v="note"/>
    <s v="Customer"/>
    <x v="2"/>
    <x v="0"/>
    <m/>
    <m/>
    <d v="2023-09-18T00:00:00"/>
    <x v="1"/>
    <x v="1"/>
    <d v="2023-10-26T00:00:00"/>
    <d v="2023-10-20T00:00:00"/>
  </r>
  <r>
    <n v="2557462"/>
    <m/>
    <x v="0"/>
    <x v="2"/>
    <s v="Phone Service"/>
    <s v="Diego"/>
    <x v="2"/>
    <s v="Corporate Tools"/>
    <s v="note"/>
    <s v="Customer"/>
    <x v="3"/>
    <x v="13"/>
    <m/>
    <m/>
    <d v="2023-11-21T00:00:00"/>
    <x v="9"/>
    <x v="2"/>
    <d v="2023-11-28T00:00:00"/>
    <d v="2023-04-21T00:00:00"/>
  </r>
  <r>
    <n v="2097969"/>
    <m/>
    <x v="0"/>
    <x v="0"/>
    <s v="Phone Service"/>
    <s v="Diego"/>
    <x v="0"/>
    <s v="Corporate Tools"/>
    <s v="note"/>
    <s v="Customer"/>
    <x v="1"/>
    <x v="7"/>
    <m/>
    <m/>
    <d v="2023-11-09T00:00:00"/>
    <x v="9"/>
    <x v="2"/>
    <d v="2023-09-06T00:00:00"/>
    <d v="2023-12-26T00:00:00"/>
  </r>
  <r>
    <n v="2124657"/>
    <m/>
    <x v="1"/>
    <x v="2"/>
    <s v="Phone Service"/>
    <s v="Diego"/>
    <x v="1"/>
    <s v="Corporate Tools"/>
    <s v="note"/>
    <s v="Customer"/>
    <x v="2"/>
    <x v="10"/>
    <m/>
    <m/>
    <d v="2023-03-21T00:00:00"/>
    <x v="7"/>
    <x v="0"/>
    <d v="2023-06-14T00:00:00"/>
    <d v="2023-10-21T00:00:00"/>
  </r>
  <r>
    <n v="2426526"/>
    <m/>
    <x v="2"/>
    <x v="1"/>
    <s v="Phone Service"/>
    <s v="Diego"/>
    <x v="0"/>
    <s v="Corporate Tools"/>
    <s v="note"/>
    <s v="Customer"/>
    <x v="1"/>
    <x v="13"/>
    <m/>
    <m/>
    <d v="2023-03-19T00:00:00"/>
    <x v="7"/>
    <x v="0"/>
    <d v="2023-10-02T00:00:00"/>
    <d v="2023-09-18T00:00:00"/>
  </r>
  <r>
    <n v="2279718"/>
    <m/>
    <x v="0"/>
    <x v="0"/>
    <s v="Phone Service"/>
    <s v="Diego"/>
    <x v="0"/>
    <s v="Corporate Tools"/>
    <s v="note"/>
    <s v="Customer"/>
    <x v="0"/>
    <x v="5"/>
    <m/>
    <m/>
    <d v="2023-02-04T00:00:00"/>
    <x v="11"/>
    <x v="0"/>
    <d v="2023-03-01T00:00:00"/>
    <d v="2023-09-05T00:00:00"/>
  </r>
  <r>
    <n v="2472123"/>
    <m/>
    <x v="2"/>
    <x v="1"/>
    <s v="Phone Service"/>
    <s v="Diego"/>
    <x v="1"/>
    <s v="Corporate Tools"/>
    <s v="note"/>
    <s v="Customer"/>
    <x v="2"/>
    <x v="2"/>
    <m/>
    <m/>
    <d v="2023-03-14T00:00:00"/>
    <x v="7"/>
    <x v="0"/>
    <d v="2023-08-21T00:00:00"/>
    <d v="2023-08-14T00:00:00"/>
  </r>
  <r>
    <n v="2210829"/>
    <m/>
    <x v="0"/>
    <x v="2"/>
    <s v="Phone Service"/>
    <s v="Diego"/>
    <x v="2"/>
    <s v="Corporate Tools"/>
    <s v="note"/>
    <s v="Customer"/>
    <x v="0"/>
    <x v="8"/>
    <m/>
    <m/>
    <d v="2023-09-15T00:00:00"/>
    <x v="1"/>
    <x v="1"/>
    <d v="2023-07-03T00:00:00"/>
    <d v="2023-08-30T00:00:00"/>
  </r>
  <r>
    <n v="2865397"/>
    <m/>
    <x v="1"/>
    <x v="2"/>
    <s v="Phone Service"/>
    <s v="Diego"/>
    <x v="0"/>
    <s v="Corporate Tools"/>
    <s v="note"/>
    <s v="Customer"/>
    <x v="3"/>
    <x v="2"/>
    <m/>
    <m/>
    <d v="2023-04-20T00:00:00"/>
    <x v="5"/>
    <x v="3"/>
    <d v="2023-08-19T00:00:00"/>
    <d v="2023-09-22T00:00:00"/>
  </r>
  <r>
    <n v="2967431"/>
    <m/>
    <x v="0"/>
    <x v="1"/>
    <s v="Phone Service"/>
    <s v="Diego"/>
    <x v="0"/>
    <s v="Corporate Tools"/>
    <s v="note"/>
    <s v="Customer"/>
    <x v="0"/>
    <x v="3"/>
    <m/>
    <m/>
    <d v="2023-01-17T00:00:00"/>
    <x v="0"/>
    <x v="0"/>
    <d v="2023-01-21T00:00:00"/>
    <d v="2023-12-05T00:00:00"/>
  </r>
  <r>
    <n v="2209949"/>
    <m/>
    <x v="2"/>
    <x v="2"/>
    <s v="Phone Service"/>
    <s v="Diego"/>
    <x v="2"/>
    <s v="Corporate Tools"/>
    <s v="note"/>
    <s v="Customer"/>
    <x v="2"/>
    <x v="11"/>
    <m/>
    <m/>
    <d v="2023-09-24T00:00:00"/>
    <x v="1"/>
    <x v="1"/>
    <d v="2023-06-09T00:00:00"/>
    <d v="2023-02-22T00:00:00"/>
  </r>
  <r>
    <n v="2797352"/>
    <m/>
    <x v="1"/>
    <x v="0"/>
    <s v="Phone Service"/>
    <s v="Diego"/>
    <x v="1"/>
    <s v="Corporate Tools"/>
    <s v="note"/>
    <s v="Customer"/>
    <x v="3"/>
    <x v="2"/>
    <m/>
    <m/>
    <d v="2023-02-10T00:00:00"/>
    <x v="11"/>
    <x v="0"/>
    <d v="2023-03-10T00:00:00"/>
    <d v="2023-04-20T00:00:00"/>
  </r>
  <r>
    <n v="2775674"/>
    <m/>
    <x v="0"/>
    <x v="0"/>
    <s v="Phone Service"/>
    <s v="Diego"/>
    <x v="3"/>
    <s v="Corporate Tools"/>
    <s v="note"/>
    <s v="Customer"/>
    <x v="3"/>
    <x v="13"/>
    <m/>
    <m/>
    <d v="2023-12-05T00:00:00"/>
    <x v="10"/>
    <x v="2"/>
    <d v="2023-10-14T00:00:00"/>
    <d v="2023-11-04T00:00:00"/>
  </r>
  <r>
    <n v="2971828"/>
    <m/>
    <x v="0"/>
    <x v="1"/>
    <s v="Phone Service"/>
    <s v="Diego"/>
    <x v="3"/>
    <s v="Corporate Tools"/>
    <s v="note"/>
    <s v="Customer"/>
    <x v="2"/>
    <x v="4"/>
    <m/>
    <m/>
    <d v="2023-02-19T00:00:00"/>
    <x v="11"/>
    <x v="0"/>
    <d v="2023-11-18T00:00:00"/>
    <d v="2023-08-14T00:00:00"/>
  </r>
  <r>
    <n v="2016057"/>
    <m/>
    <x v="1"/>
    <x v="0"/>
    <s v="Phone Service"/>
    <s v="Diego"/>
    <x v="0"/>
    <s v="Corporate Tools"/>
    <s v="note"/>
    <s v="Customer"/>
    <x v="0"/>
    <x v="12"/>
    <m/>
    <m/>
    <d v="2023-10-05T00:00:00"/>
    <x v="3"/>
    <x v="2"/>
    <d v="2023-03-18T00:00:00"/>
    <d v="2023-07-29T00:00:00"/>
  </r>
  <r>
    <n v="2810167"/>
    <m/>
    <x v="0"/>
    <x v="2"/>
    <s v="Phone Service"/>
    <s v="Diego"/>
    <x v="1"/>
    <s v="Corporate Tools"/>
    <s v="note"/>
    <s v="Customer"/>
    <x v="0"/>
    <x v="2"/>
    <m/>
    <m/>
    <d v="2023-03-14T00:00:00"/>
    <x v="7"/>
    <x v="0"/>
    <d v="2023-07-01T00:00:00"/>
    <d v="2023-05-22T00:00:00"/>
  </r>
  <r>
    <n v="2648693"/>
    <m/>
    <x v="2"/>
    <x v="2"/>
    <s v="Phone Service"/>
    <s v="Diego"/>
    <x v="3"/>
    <s v="Corporate Tools"/>
    <s v="note"/>
    <s v="Customer"/>
    <x v="0"/>
    <x v="10"/>
    <m/>
    <m/>
    <d v="2023-11-18T00:00:00"/>
    <x v="9"/>
    <x v="2"/>
    <d v="2023-11-12T00:00:00"/>
    <d v="2023-06-11T00:00:00"/>
  </r>
  <r>
    <n v="2181090"/>
    <m/>
    <x v="0"/>
    <x v="0"/>
    <s v="Phone Service"/>
    <s v="Diego"/>
    <x v="3"/>
    <s v="Corporate Tools"/>
    <s v="note"/>
    <s v="Customer"/>
    <x v="2"/>
    <x v="3"/>
    <m/>
    <m/>
    <d v="2024-01-05T00:00:00"/>
    <x v="0"/>
    <x v="0"/>
    <d v="2023-01-13T00:00:00"/>
    <d v="2023-01-27T00:00:00"/>
  </r>
  <r>
    <n v="2088244"/>
    <m/>
    <x v="0"/>
    <x v="1"/>
    <s v="Phone Service"/>
    <s v="Diego"/>
    <x v="2"/>
    <s v="Corporate Tools"/>
    <s v="note"/>
    <s v="Customer"/>
    <x v="2"/>
    <x v="4"/>
    <m/>
    <m/>
    <d v="2023-06-27T00:00:00"/>
    <x v="6"/>
    <x v="3"/>
    <d v="2023-07-15T00:00:00"/>
    <d v="2023-06-26T00:00:00"/>
  </r>
  <r>
    <n v="2218816"/>
    <m/>
    <x v="2"/>
    <x v="0"/>
    <s v="Phone Service"/>
    <s v="Diego"/>
    <x v="2"/>
    <s v="Corporate Tools"/>
    <s v="note"/>
    <s v="Customer"/>
    <x v="2"/>
    <x v="9"/>
    <m/>
    <m/>
    <d v="2023-10-20T00:00:00"/>
    <x v="3"/>
    <x v="2"/>
    <d v="2023-05-04T00:00:00"/>
    <d v="2023-10-28T00:00:00"/>
  </r>
  <r>
    <n v="2516258"/>
    <m/>
    <x v="2"/>
    <x v="0"/>
    <s v="Phone Service"/>
    <s v="Diego"/>
    <x v="3"/>
    <s v="Corporate Tools"/>
    <s v="note"/>
    <s v="Customer"/>
    <x v="3"/>
    <x v="11"/>
    <m/>
    <m/>
    <d v="2023-01-24T00:00:00"/>
    <x v="0"/>
    <x v="0"/>
    <d v="2023-07-25T00:00:00"/>
    <d v="2023-01-30T00:00:00"/>
  </r>
  <r>
    <n v="2864210"/>
    <m/>
    <x v="2"/>
    <x v="1"/>
    <s v="Phone Service"/>
    <s v="Diego"/>
    <x v="0"/>
    <s v="Corporate Tools"/>
    <s v="note"/>
    <s v="Customer"/>
    <x v="3"/>
    <x v="1"/>
    <m/>
    <m/>
    <d v="2023-07-27T00:00:00"/>
    <x v="2"/>
    <x v="1"/>
    <d v="2023-08-20T00:00:00"/>
    <d v="2023-06-27T00:00:00"/>
  </r>
  <r>
    <n v="2957307"/>
    <m/>
    <x v="2"/>
    <x v="2"/>
    <s v="Phone Service"/>
    <s v="Diego"/>
    <x v="1"/>
    <s v="Corporate Tools"/>
    <s v="note"/>
    <s v="Customer"/>
    <x v="1"/>
    <x v="10"/>
    <m/>
    <m/>
    <d v="2023-11-18T00:00:00"/>
    <x v="9"/>
    <x v="2"/>
    <d v="2023-05-18T00:00:00"/>
    <d v="2023-10-26T00:00:00"/>
  </r>
  <r>
    <n v="2745219"/>
    <m/>
    <x v="2"/>
    <x v="2"/>
    <s v="Phone Service"/>
    <s v="Diego"/>
    <x v="0"/>
    <s v="Corporate Tools"/>
    <s v="note"/>
    <s v="Customer"/>
    <x v="3"/>
    <x v="1"/>
    <m/>
    <m/>
    <d v="2023-02-23T00:00:00"/>
    <x v="11"/>
    <x v="0"/>
    <d v="2023-12-28T00:00:00"/>
    <d v="2023-07-15T00:00:00"/>
  </r>
  <r>
    <n v="2837072"/>
    <m/>
    <x v="2"/>
    <x v="0"/>
    <s v="Phone Service"/>
    <s v="Diego"/>
    <x v="2"/>
    <s v="Corporate Tools"/>
    <s v="note"/>
    <s v="Customer"/>
    <x v="2"/>
    <x v="5"/>
    <m/>
    <m/>
    <d v="2023-09-12T00:00:00"/>
    <x v="1"/>
    <x v="1"/>
    <d v="2023-09-16T00:00:00"/>
    <d v="2023-01-01T00:00:00"/>
  </r>
  <r>
    <n v="2242878"/>
    <m/>
    <x v="0"/>
    <x v="1"/>
    <s v="Phone Service"/>
    <s v="Diego"/>
    <x v="0"/>
    <s v="Corporate Tools"/>
    <s v="note"/>
    <s v="Customer"/>
    <x v="2"/>
    <x v="8"/>
    <m/>
    <m/>
    <d v="2023-07-22T00:00:00"/>
    <x v="2"/>
    <x v="1"/>
    <d v="2023-05-04T00:00:00"/>
    <d v="2023-07-31T00:00:00"/>
  </r>
  <r>
    <n v="2757477"/>
    <m/>
    <x v="2"/>
    <x v="1"/>
    <s v="Phone Service"/>
    <s v="Diego"/>
    <x v="2"/>
    <s v="Corporate Tools"/>
    <s v="note"/>
    <s v="Customer"/>
    <x v="2"/>
    <x v="5"/>
    <m/>
    <m/>
    <d v="2023-12-13T00:00:00"/>
    <x v="10"/>
    <x v="2"/>
    <d v="2023-07-29T00:00:00"/>
    <d v="2023-10-11T00:00:00"/>
  </r>
  <r>
    <n v="2829375"/>
    <m/>
    <x v="1"/>
    <x v="2"/>
    <s v="Phone Service"/>
    <s v="Diego"/>
    <x v="2"/>
    <s v="Corporate Tools"/>
    <s v="note"/>
    <s v="Customer"/>
    <x v="2"/>
    <x v="3"/>
    <m/>
    <m/>
    <d v="2023-04-28T00:00:00"/>
    <x v="5"/>
    <x v="3"/>
    <d v="2023-05-30T00:00:00"/>
    <d v="2023-05-30T00:00:00"/>
  </r>
  <r>
    <n v="2029999"/>
    <m/>
    <x v="1"/>
    <x v="0"/>
    <s v="Phone Service"/>
    <s v="Diego"/>
    <x v="1"/>
    <s v="Corporate Tools"/>
    <s v="note"/>
    <s v="Customer"/>
    <x v="3"/>
    <x v="8"/>
    <m/>
    <m/>
    <d v="2023-01-15T00:00:00"/>
    <x v="0"/>
    <x v="0"/>
    <d v="2023-01-11T00:00:00"/>
    <d v="2023-10-15T00:00:00"/>
  </r>
  <r>
    <n v="2702180"/>
    <m/>
    <x v="1"/>
    <x v="2"/>
    <s v="Phone Service"/>
    <s v="Diego"/>
    <x v="0"/>
    <s v="Corporate Tools"/>
    <s v="note"/>
    <s v="Customer"/>
    <x v="1"/>
    <x v="0"/>
    <m/>
    <m/>
    <d v="2023-03-19T00:00:00"/>
    <x v="7"/>
    <x v="0"/>
    <d v="2023-12-19T00:00:00"/>
    <d v="2024-01-07T00:00:00"/>
  </r>
  <r>
    <n v="2791166"/>
    <m/>
    <x v="0"/>
    <x v="2"/>
    <s v="Phone Service"/>
    <s v="Diego"/>
    <x v="3"/>
    <s v="Corporate Tools"/>
    <s v="note"/>
    <s v="Customer"/>
    <x v="1"/>
    <x v="2"/>
    <m/>
    <m/>
    <d v="2023-02-06T00:00:00"/>
    <x v="11"/>
    <x v="0"/>
    <d v="2023-10-28T00:00:00"/>
    <d v="2023-07-08T00:00:00"/>
  </r>
  <r>
    <n v="2789895"/>
    <m/>
    <x v="0"/>
    <x v="0"/>
    <s v="Phone Service"/>
    <s v="Diego"/>
    <x v="1"/>
    <s v="Corporate Tools"/>
    <s v="note"/>
    <s v="Customer"/>
    <x v="3"/>
    <x v="4"/>
    <m/>
    <m/>
    <d v="2023-03-08T00:00:00"/>
    <x v="7"/>
    <x v="0"/>
    <d v="2023-07-28T00:00:00"/>
    <d v="2024-01-03T00:00:00"/>
  </r>
  <r>
    <n v="2447973"/>
    <m/>
    <x v="2"/>
    <x v="1"/>
    <s v="Phone Service"/>
    <s v="Diego"/>
    <x v="3"/>
    <s v="Corporate Tools"/>
    <s v="note"/>
    <s v="Customer"/>
    <x v="0"/>
    <x v="7"/>
    <m/>
    <m/>
    <d v="2023-09-13T00:00:00"/>
    <x v="1"/>
    <x v="1"/>
    <d v="2023-07-31T00:00:00"/>
    <d v="2023-02-16T00:00:00"/>
  </r>
  <r>
    <n v="2047536"/>
    <m/>
    <x v="1"/>
    <x v="0"/>
    <s v="Phone Service"/>
    <s v="Diego"/>
    <x v="0"/>
    <s v="Corporate Tools"/>
    <s v="note"/>
    <s v="Customer"/>
    <x v="3"/>
    <x v="8"/>
    <m/>
    <m/>
    <d v="2023-12-02T00:00:00"/>
    <x v="10"/>
    <x v="2"/>
    <d v="2023-04-15T00:00:00"/>
    <d v="2023-05-21T00:00:00"/>
  </r>
  <r>
    <n v="2472731"/>
    <m/>
    <x v="2"/>
    <x v="2"/>
    <s v="Phone Service"/>
    <s v="Diego"/>
    <x v="1"/>
    <s v="Corporate Tools"/>
    <s v="note"/>
    <s v="Customer"/>
    <x v="3"/>
    <x v="13"/>
    <m/>
    <m/>
    <d v="2023-08-29T00:00:00"/>
    <x v="8"/>
    <x v="1"/>
    <d v="2023-04-01T00:00:00"/>
    <d v="2023-12-08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1B4DD4-A400-4DDA-A8BF-A42B75A8A87B}" name="PivotTable5" cacheId="30" applyNumberFormats="0" applyBorderFormats="0" applyFontFormats="0" applyPatternFormats="0" applyAlignmentFormats="0" applyWidthHeightFormats="1" dataCaption="Values" updatedVersion="8" minRefreshableVersion="3" showDrill="0" useAutoFormatting="1" itemPrintTitles="1" createdVersion="8" indent="0" outline="1" outlineData="1" multipleFieldFilters="0" chartFormat="12">
  <location ref="A1:B18" firstHeaderRow="1" firstDataRow="1" firstDataCol="1"/>
  <pivotFields count="19">
    <pivotField dataField="1" showAll="0"/>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Row" showAll="0" sortType="descending">
      <items count="22">
        <item m="1" x="19"/>
        <item m="1" x="17"/>
        <item m="1" x="20"/>
        <item m="1" x="18"/>
        <item x="3"/>
        <item m="1" x="16"/>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4">
        <item x="0"/>
        <item x="11"/>
        <item x="7"/>
        <item x="5"/>
        <item x="4"/>
        <item x="6"/>
        <item x="2"/>
        <item x="8"/>
        <item x="1"/>
        <item x="3"/>
        <item x="9"/>
        <item x="10"/>
        <item m="1" x="12"/>
        <item t="default"/>
      </items>
    </pivotField>
    <pivotField showAll="0">
      <items count="6">
        <item x="0"/>
        <item x="3"/>
        <item x="1"/>
        <item x="2"/>
        <item m="1" x="4"/>
        <item t="default"/>
      </items>
    </pivotField>
    <pivotField showAll="0"/>
    <pivotField showAll="0"/>
  </pivotFields>
  <rowFields count="1">
    <field x="11"/>
  </rowFields>
  <rowItems count="17">
    <i>
      <x v="18"/>
    </i>
    <i>
      <x v="9"/>
    </i>
    <i>
      <x v="14"/>
    </i>
    <i>
      <x v="11"/>
    </i>
    <i>
      <x v="19"/>
    </i>
    <i>
      <x v="7"/>
    </i>
    <i>
      <x v="17"/>
    </i>
    <i>
      <x v="15"/>
    </i>
    <i>
      <x v="13"/>
    </i>
    <i>
      <x v="12"/>
    </i>
    <i>
      <x v="8"/>
    </i>
    <i>
      <x v="16"/>
    </i>
    <i>
      <x v="20"/>
    </i>
    <i>
      <x v="4"/>
    </i>
    <i>
      <x v="6"/>
    </i>
    <i>
      <x v="10"/>
    </i>
    <i t="grand">
      <x/>
    </i>
  </rowItems>
  <colItems count="1">
    <i/>
  </colItems>
  <dataFields count="1">
    <dataField name="Count of #" fld="0" subtotal="count" baseField="0" baseItem="0"/>
  </dataFields>
  <chartFormats count="38">
    <chartFormat chart="7" format="0"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0"/>
          </reference>
        </references>
      </pivotArea>
    </chartFormat>
    <chartFormat chart="10" format="8">
      <pivotArea type="data" outline="0" fieldPosition="0">
        <references count="2">
          <reference field="4294967294" count="1" selected="0">
            <x v="0"/>
          </reference>
          <reference field="11" count="1" selected="0">
            <x v="3"/>
          </reference>
        </references>
      </pivotArea>
    </chartFormat>
    <chartFormat chart="10" format="9">
      <pivotArea type="data" outline="0" fieldPosition="0">
        <references count="2">
          <reference field="4294967294" count="1" selected="0">
            <x v="0"/>
          </reference>
          <reference field="11" count="1" selected="0">
            <x v="1"/>
          </reference>
        </references>
      </pivotArea>
    </chartFormat>
    <chartFormat chart="10" format="10">
      <pivotArea type="data" outline="0" fieldPosition="0">
        <references count="2">
          <reference field="4294967294" count="1" selected="0">
            <x v="0"/>
          </reference>
          <reference field="11" count="1" selected="0">
            <x v="0"/>
          </reference>
        </references>
      </pivotArea>
    </chartFormat>
    <chartFormat chart="10" format="11">
      <pivotArea type="data" outline="0" fieldPosition="0">
        <references count="2">
          <reference field="4294967294" count="1" selected="0">
            <x v="0"/>
          </reference>
          <reference field="11" count="1" selected="0">
            <x v="2"/>
          </reference>
        </references>
      </pivotArea>
    </chartFormat>
    <chartFormat chart="10" format="12">
      <pivotArea type="data" outline="0" fieldPosition="0">
        <references count="2">
          <reference field="4294967294" count="1" selected="0">
            <x v="0"/>
          </reference>
          <reference field="11" count="1" selected="0">
            <x v="4"/>
          </reference>
        </references>
      </pivotArea>
    </chartFormat>
    <chartFormat chart="10" format="13">
      <pivotArea type="data" outline="0" fieldPosition="0">
        <references count="2">
          <reference field="4294967294" count="1" selected="0">
            <x v="0"/>
          </reference>
          <reference field="11" count="1" selected="0">
            <x v="18"/>
          </reference>
        </references>
      </pivotArea>
    </chartFormat>
    <chartFormat chart="10" format="14">
      <pivotArea type="data" outline="0" fieldPosition="0">
        <references count="2">
          <reference field="4294967294" count="1" selected="0">
            <x v="0"/>
          </reference>
          <reference field="11" count="1" selected="0">
            <x v="9"/>
          </reference>
        </references>
      </pivotArea>
    </chartFormat>
    <chartFormat chart="7" format="1">
      <pivotArea type="data" outline="0" fieldPosition="0">
        <references count="2">
          <reference field="4294967294" count="1" selected="0">
            <x v="0"/>
          </reference>
          <reference field="11" count="1" selected="0">
            <x v="18"/>
          </reference>
        </references>
      </pivotArea>
    </chartFormat>
    <chartFormat chart="7" format="2">
      <pivotArea type="data" outline="0" fieldPosition="0">
        <references count="2">
          <reference field="4294967294" count="1" selected="0">
            <x v="0"/>
          </reference>
          <reference field="11" count="1" selected="0">
            <x v="9"/>
          </reference>
        </references>
      </pivotArea>
    </chartFormat>
    <chartFormat chart="7" format="3">
      <pivotArea type="data" outline="0" fieldPosition="0">
        <references count="2">
          <reference field="4294967294" count="1" selected="0">
            <x v="0"/>
          </reference>
          <reference field="11" count="1" selected="0">
            <x v="14"/>
          </reference>
        </references>
      </pivotArea>
    </chartFormat>
    <chartFormat chart="7" format="4">
      <pivotArea type="data" outline="0" fieldPosition="0">
        <references count="2">
          <reference field="4294967294" count="1" selected="0">
            <x v="0"/>
          </reference>
          <reference field="11" count="1" selected="0">
            <x v="11"/>
          </reference>
        </references>
      </pivotArea>
    </chartFormat>
    <chartFormat chart="7" format="5">
      <pivotArea type="data" outline="0" fieldPosition="0">
        <references count="2">
          <reference field="4294967294" count="1" selected="0">
            <x v="0"/>
          </reference>
          <reference field="11" count="1" selected="0">
            <x v="19"/>
          </reference>
        </references>
      </pivotArea>
    </chartFormat>
    <chartFormat chart="10" format="15">
      <pivotArea type="data" outline="0" fieldPosition="0">
        <references count="2">
          <reference field="4294967294" count="1" selected="0">
            <x v="0"/>
          </reference>
          <reference field="11" count="1" selected="0">
            <x v="14"/>
          </reference>
        </references>
      </pivotArea>
    </chartFormat>
    <chartFormat chart="10" format="16">
      <pivotArea type="data" outline="0" fieldPosition="0">
        <references count="2">
          <reference field="4294967294" count="1" selected="0">
            <x v="0"/>
          </reference>
          <reference field="11" count="1" selected="0">
            <x v="11"/>
          </reference>
        </references>
      </pivotArea>
    </chartFormat>
    <chartFormat chart="10" format="17">
      <pivotArea type="data" outline="0" fieldPosition="0">
        <references count="2">
          <reference field="4294967294" count="1" selected="0">
            <x v="0"/>
          </reference>
          <reference field="11" count="1" selected="0">
            <x v="19"/>
          </reference>
        </references>
      </pivotArea>
    </chartFormat>
    <chartFormat chart="10" format="18">
      <pivotArea type="data" outline="0" fieldPosition="0">
        <references count="2">
          <reference field="4294967294" count="1" selected="0">
            <x v="0"/>
          </reference>
          <reference field="11" count="1" selected="0">
            <x v="7"/>
          </reference>
        </references>
      </pivotArea>
    </chartFormat>
    <chartFormat chart="10" format="19">
      <pivotArea type="data" outline="0" fieldPosition="0">
        <references count="2">
          <reference field="4294967294" count="1" selected="0">
            <x v="0"/>
          </reference>
          <reference field="11" count="1" selected="0">
            <x v="17"/>
          </reference>
        </references>
      </pivotArea>
    </chartFormat>
    <chartFormat chart="10" format="20">
      <pivotArea type="data" outline="0" fieldPosition="0">
        <references count="2">
          <reference field="4294967294" count="1" selected="0">
            <x v="0"/>
          </reference>
          <reference field="11" count="1" selected="0">
            <x v="15"/>
          </reference>
        </references>
      </pivotArea>
    </chartFormat>
    <chartFormat chart="10" format="21">
      <pivotArea type="data" outline="0" fieldPosition="0">
        <references count="2">
          <reference field="4294967294" count="1" selected="0">
            <x v="0"/>
          </reference>
          <reference field="11" count="1" selected="0">
            <x v="13"/>
          </reference>
        </references>
      </pivotArea>
    </chartFormat>
    <chartFormat chart="10" format="22">
      <pivotArea type="data" outline="0" fieldPosition="0">
        <references count="2">
          <reference field="4294967294" count="1" selected="0">
            <x v="0"/>
          </reference>
          <reference field="11" count="1" selected="0">
            <x v="12"/>
          </reference>
        </references>
      </pivotArea>
    </chartFormat>
    <chartFormat chart="10" format="23">
      <pivotArea type="data" outline="0" fieldPosition="0">
        <references count="2">
          <reference field="4294967294" count="1" selected="0">
            <x v="0"/>
          </reference>
          <reference field="11" count="1" selected="0">
            <x v="8"/>
          </reference>
        </references>
      </pivotArea>
    </chartFormat>
    <chartFormat chart="10" format="24">
      <pivotArea type="data" outline="0" fieldPosition="0">
        <references count="2">
          <reference field="4294967294" count="1" selected="0">
            <x v="0"/>
          </reference>
          <reference field="11" count="1" selected="0">
            <x v="16"/>
          </reference>
        </references>
      </pivotArea>
    </chartFormat>
    <chartFormat chart="10" format="25">
      <pivotArea type="data" outline="0" fieldPosition="0">
        <references count="2">
          <reference field="4294967294" count="1" selected="0">
            <x v="0"/>
          </reference>
          <reference field="11" count="1" selected="0">
            <x v="20"/>
          </reference>
        </references>
      </pivotArea>
    </chartFormat>
    <chartFormat chart="10" format="26">
      <pivotArea type="data" outline="0" fieldPosition="0">
        <references count="2">
          <reference field="4294967294" count="1" selected="0">
            <x v="0"/>
          </reference>
          <reference field="11" count="1" selected="0">
            <x v="6"/>
          </reference>
        </references>
      </pivotArea>
    </chartFormat>
    <chartFormat chart="10" format="27">
      <pivotArea type="data" outline="0" fieldPosition="0">
        <references count="2">
          <reference field="4294967294" count="1" selected="0">
            <x v="0"/>
          </reference>
          <reference field="11" count="1" selected="0">
            <x v="10"/>
          </reference>
        </references>
      </pivotArea>
    </chartFormat>
    <chartFormat chart="7" format="6">
      <pivotArea type="data" outline="0" fieldPosition="0">
        <references count="2">
          <reference field="4294967294" count="1" selected="0">
            <x v="0"/>
          </reference>
          <reference field="11" count="1" selected="0">
            <x v="13"/>
          </reference>
        </references>
      </pivotArea>
    </chartFormat>
    <chartFormat chart="7" format="7">
      <pivotArea type="data" outline="0" fieldPosition="0">
        <references count="2">
          <reference field="4294967294" count="1" selected="0">
            <x v="0"/>
          </reference>
          <reference field="11" count="1" selected="0">
            <x v="16"/>
          </reference>
        </references>
      </pivotArea>
    </chartFormat>
    <chartFormat chart="7" format="8">
      <pivotArea type="data" outline="0" fieldPosition="0">
        <references count="2">
          <reference field="4294967294" count="1" selected="0">
            <x v="0"/>
          </reference>
          <reference field="11" count="1" selected="0">
            <x v="7"/>
          </reference>
        </references>
      </pivotArea>
    </chartFormat>
    <chartFormat chart="7" format="9">
      <pivotArea type="data" outline="0" fieldPosition="0">
        <references count="2">
          <reference field="4294967294" count="1" selected="0">
            <x v="0"/>
          </reference>
          <reference field="11" count="1" selected="0">
            <x v="17"/>
          </reference>
        </references>
      </pivotArea>
    </chartFormat>
    <chartFormat chart="7" format="10">
      <pivotArea type="data" outline="0" fieldPosition="0">
        <references count="2">
          <reference field="4294967294" count="1" selected="0">
            <x v="0"/>
          </reference>
          <reference field="11" count="1" selected="0">
            <x v="6"/>
          </reference>
        </references>
      </pivotArea>
    </chartFormat>
    <chartFormat chart="7" format="11">
      <pivotArea type="data" outline="0" fieldPosition="0">
        <references count="2">
          <reference field="4294967294" count="1" selected="0">
            <x v="0"/>
          </reference>
          <reference field="11" count="1" selected="0">
            <x v="20"/>
          </reference>
        </references>
      </pivotArea>
    </chartFormat>
    <chartFormat chart="7" format="12">
      <pivotArea type="data" outline="0" fieldPosition="0">
        <references count="2">
          <reference field="4294967294" count="1" selected="0">
            <x v="0"/>
          </reference>
          <reference field="11" count="1" selected="0">
            <x v="4"/>
          </reference>
        </references>
      </pivotArea>
    </chartFormat>
    <chartFormat chart="7" format="13">
      <pivotArea type="data" outline="0" fieldPosition="0">
        <references count="2">
          <reference field="4294967294" count="1" selected="0">
            <x v="0"/>
          </reference>
          <reference field="11" count="1" selected="0">
            <x v="12"/>
          </reference>
        </references>
      </pivotArea>
    </chartFormat>
    <chartFormat chart="7" format="14">
      <pivotArea type="data" outline="0" fieldPosition="0">
        <references count="2">
          <reference field="4294967294" count="1" selected="0">
            <x v="0"/>
          </reference>
          <reference field="11" count="1" selected="0">
            <x v="10"/>
          </reference>
        </references>
      </pivotArea>
    </chartFormat>
    <chartFormat chart="7" format="15">
      <pivotArea type="data" outline="0" fieldPosition="0">
        <references count="2">
          <reference field="4294967294" count="1" selected="0">
            <x v="0"/>
          </reference>
          <reference field="11" count="1" selected="0">
            <x v="15"/>
          </reference>
        </references>
      </pivotArea>
    </chartFormat>
    <chartFormat chart="7" format="16">
      <pivotArea type="data" outline="0" fieldPosition="0">
        <references count="2">
          <reference field="4294967294" count="1" selected="0">
            <x v="0"/>
          </reference>
          <reference field="11"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4DD303-6884-44BE-8F7F-A2188081641B}" name="PivotTable6" cacheId="30" applyNumberFormats="0" applyBorderFormats="0" applyFontFormats="0" applyPatternFormats="0" applyAlignmentFormats="0" applyWidthHeightFormats="1" dataCaption="Values" updatedVersion="8" minRefreshableVersion="3" useAutoFormatting="1" itemPrintTitles="1" createdVersion="8" indent="0" outline="1" outlineData="1" chartFormat="69">
  <location ref="A3:R17" firstHeaderRow="1" firstDataRow="2" firstDataCol="1"/>
  <pivotFields count="19">
    <pivotField dataField="1" showAll="0" countASubtotal="1"/>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Col" showAll="0" sortType="ascending">
      <items count="22">
        <item m="1" x="16"/>
        <item x="3"/>
        <item m="1" x="18"/>
        <item m="1" x="20"/>
        <item m="1" x="17"/>
        <item m="1" x="19"/>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axis="axisRow" showAll="0" sortType="ascending">
      <items count="14">
        <item x="0"/>
        <item x="11"/>
        <item x="7"/>
        <item x="5"/>
        <item x="4"/>
        <item x="6"/>
        <item x="2"/>
        <item x="8"/>
        <item x="1"/>
        <item x="3"/>
        <item x="9"/>
        <item x="10"/>
        <item m="1" x="12"/>
        <item t="default"/>
      </items>
    </pivotField>
    <pivotField showAll="0">
      <items count="6">
        <item x="0"/>
        <item x="3"/>
        <item x="1"/>
        <item x="2"/>
        <item m="1" x="4"/>
        <item t="default"/>
      </items>
    </pivotField>
    <pivotField showAll="0"/>
    <pivotField showAll="0"/>
  </pivotFields>
  <rowFields count="1">
    <field x="15"/>
  </rowFields>
  <rowItems count="13">
    <i>
      <x/>
    </i>
    <i>
      <x v="1"/>
    </i>
    <i>
      <x v="2"/>
    </i>
    <i>
      <x v="3"/>
    </i>
    <i>
      <x v="4"/>
    </i>
    <i>
      <x v="5"/>
    </i>
    <i>
      <x v="6"/>
    </i>
    <i>
      <x v="7"/>
    </i>
    <i>
      <x v="8"/>
    </i>
    <i>
      <x v="9"/>
    </i>
    <i>
      <x v="10"/>
    </i>
    <i>
      <x v="11"/>
    </i>
    <i t="grand">
      <x/>
    </i>
  </rowItems>
  <colFields count="1">
    <field x="11"/>
  </colFields>
  <colItems count="17">
    <i>
      <x v="10"/>
    </i>
    <i>
      <x v="6"/>
    </i>
    <i>
      <x v="20"/>
    </i>
    <i>
      <x v="1"/>
    </i>
    <i>
      <x v="16"/>
    </i>
    <i>
      <x v="8"/>
    </i>
    <i>
      <x v="12"/>
    </i>
    <i>
      <x v="13"/>
    </i>
    <i>
      <x v="15"/>
    </i>
    <i>
      <x v="17"/>
    </i>
    <i>
      <x v="7"/>
    </i>
    <i>
      <x v="19"/>
    </i>
    <i>
      <x v="11"/>
    </i>
    <i>
      <x v="14"/>
    </i>
    <i>
      <x v="9"/>
    </i>
    <i>
      <x v="18"/>
    </i>
    <i t="grand">
      <x/>
    </i>
  </colItems>
  <dataFields count="1">
    <dataField name="Count of #" fld="0" subtotal="count" baseField="15" baseItem="1"/>
  </dataFields>
  <chartFormats count="21">
    <chartFormat chart="9" format="16" series="1">
      <pivotArea type="data" outline="0" fieldPosition="0">
        <references count="2">
          <reference field="4294967294" count="1" selected="0">
            <x v="0"/>
          </reference>
          <reference field="11" count="1" selected="0">
            <x v="5"/>
          </reference>
        </references>
      </pivotArea>
    </chartFormat>
    <chartFormat chart="9" format="17" series="1">
      <pivotArea type="data" outline="0" fieldPosition="0">
        <references count="2">
          <reference field="4294967294" count="1" selected="0">
            <x v="0"/>
          </reference>
          <reference field="11" count="1" selected="0">
            <x v="4"/>
          </reference>
        </references>
      </pivotArea>
    </chartFormat>
    <chartFormat chart="9" format="18" series="1">
      <pivotArea type="data" outline="0" fieldPosition="0">
        <references count="2">
          <reference field="4294967294" count="1" selected="0">
            <x v="0"/>
          </reference>
          <reference field="11" count="1" selected="0">
            <x v="3"/>
          </reference>
        </references>
      </pivotArea>
    </chartFormat>
    <chartFormat chart="9" format="19" series="1">
      <pivotArea type="data" outline="0" fieldPosition="0">
        <references count="2">
          <reference field="4294967294" count="1" selected="0">
            <x v="0"/>
          </reference>
          <reference field="11" count="1" selected="0">
            <x v="2"/>
          </reference>
        </references>
      </pivotArea>
    </chartFormat>
    <chartFormat chart="9" format="20" series="1">
      <pivotArea type="data" outline="0" fieldPosition="0">
        <references count="2">
          <reference field="4294967294" count="1" selected="0">
            <x v="0"/>
          </reference>
          <reference field="11" count="1" selected="0">
            <x v="1"/>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2">
          <reference field="4294967294" count="1" selected="0">
            <x v="0"/>
          </reference>
          <reference field="11" count="1" selected="0">
            <x v="8"/>
          </reference>
        </references>
      </pivotArea>
    </chartFormat>
    <chartFormat chart="9" format="23" series="1">
      <pivotArea type="data" outline="0" fieldPosition="0">
        <references count="2">
          <reference field="4294967294" count="1" selected="0">
            <x v="0"/>
          </reference>
          <reference field="11" count="1" selected="0">
            <x v="12"/>
          </reference>
        </references>
      </pivotArea>
    </chartFormat>
    <chartFormat chart="9" format="24" series="1">
      <pivotArea type="data" outline="0" fieldPosition="0">
        <references count="2">
          <reference field="4294967294" count="1" selected="0">
            <x v="0"/>
          </reference>
          <reference field="11" count="1" selected="0">
            <x v="13"/>
          </reference>
        </references>
      </pivotArea>
    </chartFormat>
    <chartFormat chart="9" format="25" series="1">
      <pivotArea type="data" outline="0" fieldPosition="0">
        <references count="2">
          <reference field="4294967294" count="1" selected="0">
            <x v="0"/>
          </reference>
          <reference field="11" count="1" selected="0">
            <x v="15"/>
          </reference>
        </references>
      </pivotArea>
    </chartFormat>
    <chartFormat chart="9" format="26" series="1">
      <pivotArea type="data" outline="0" fieldPosition="0">
        <references count="2">
          <reference field="4294967294" count="1" selected="0">
            <x v="0"/>
          </reference>
          <reference field="11" count="1" selected="0">
            <x v="17"/>
          </reference>
        </references>
      </pivotArea>
    </chartFormat>
    <chartFormat chart="9" format="27" series="1">
      <pivotArea type="data" outline="0" fieldPosition="0">
        <references count="2">
          <reference field="4294967294" count="1" selected="0">
            <x v="0"/>
          </reference>
          <reference field="11" count="1" selected="0">
            <x v="7"/>
          </reference>
        </references>
      </pivotArea>
    </chartFormat>
    <chartFormat chart="9" format="28" series="1">
      <pivotArea type="data" outline="0" fieldPosition="0">
        <references count="2">
          <reference field="4294967294" count="1" selected="0">
            <x v="0"/>
          </reference>
          <reference field="11" count="1" selected="0">
            <x v="19"/>
          </reference>
        </references>
      </pivotArea>
    </chartFormat>
    <chartFormat chart="9" format="29" series="1">
      <pivotArea type="data" outline="0" fieldPosition="0">
        <references count="2">
          <reference field="4294967294" count="1" selected="0">
            <x v="0"/>
          </reference>
          <reference field="11" count="1" selected="0">
            <x v="11"/>
          </reference>
        </references>
      </pivotArea>
    </chartFormat>
    <chartFormat chart="9" format="30" series="1">
      <pivotArea type="data" outline="0" fieldPosition="0">
        <references count="2">
          <reference field="4294967294" count="1" selected="0">
            <x v="0"/>
          </reference>
          <reference field="11" count="1" selected="0">
            <x v="14"/>
          </reference>
        </references>
      </pivotArea>
    </chartFormat>
    <chartFormat chart="9" format="31" series="1">
      <pivotArea type="data" outline="0" fieldPosition="0">
        <references count="2">
          <reference field="4294967294" count="1" selected="0">
            <x v="0"/>
          </reference>
          <reference field="11" count="1" selected="0">
            <x v="9"/>
          </reference>
        </references>
      </pivotArea>
    </chartFormat>
    <chartFormat chart="9" format="32" series="1">
      <pivotArea type="data" outline="0" fieldPosition="0">
        <references count="2">
          <reference field="4294967294" count="1" selected="0">
            <x v="0"/>
          </reference>
          <reference field="11" count="1" selected="0">
            <x v="18"/>
          </reference>
        </references>
      </pivotArea>
    </chartFormat>
    <chartFormat chart="9" format="33" series="1">
      <pivotArea type="data" outline="0" fieldPosition="0">
        <references count="2">
          <reference field="4294967294" count="1" selected="0">
            <x v="0"/>
          </reference>
          <reference field="11" count="1" selected="0">
            <x v="16"/>
          </reference>
        </references>
      </pivotArea>
    </chartFormat>
    <chartFormat chart="9" format="34" series="1">
      <pivotArea type="data" outline="0" fieldPosition="0">
        <references count="2">
          <reference field="4294967294" count="1" selected="0">
            <x v="0"/>
          </reference>
          <reference field="11" count="1" selected="0">
            <x v="20"/>
          </reference>
        </references>
      </pivotArea>
    </chartFormat>
    <chartFormat chart="9" format="35" series="1">
      <pivotArea type="data" outline="0" fieldPosition="0">
        <references count="2">
          <reference field="4294967294" count="1" selected="0">
            <x v="0"/>
          </reference>
          <reference field="11" count="1" selected="0">
            <x v="6"/>
          </reference>
        </references>
      </pivotArea>
    </chartFormat>
    <chartFormat chart="9" format="36" series="1">
      <pivotArea type="data" outline="0" fieldPosition="0">
        <references count="2">
          <reference field="4294967294" count="1" selected="0">
            <x v="0"/>
          </reference>
          <reference field="11" count="1" selected="0">
            <x v="1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636C8CE-DF0A-46A7-AA57-831B3E1AABB0}" autoFormatId="16" applyNumberFormats="0" applyBorderFormats="0" applyFontFormats="0" applyPatternFormats="0" applyAlignmentFormats="0" applyWidthHeightFormats="0">
  <queryTableRefresh nextId="39">
    <queryTableFields count="19">
      <queryTableField id="1" name="#" tableColumnId="1"/>
      <queryTableField id="2" name="Title" tableColumnId="2"/>
      <queryTableField id="3" name="State" tableColumnId="3"/>
      <queryTableField id="4" name="Priority" tableColumnId="4"/>
      <queryTableField id="5" name="Group" tableColumnId="5"/>
      <queryTableField id="6" name="Owner" tableColumnId="6"/>
      <queryTableField id="7" name="Customer" tableColumnId="7"/>
      <queryTableField id="8" name="Organization" tableColumnId="8"/>
      <queryTableField id="9" name="Create Channel" tableColumnId="9"/>
      <queryTableField id="10" name="Sender" tableColumnId="10"/>
      <queryTableField id="11" name="Tag 1" tableColumnId="11"/>
      <queryTableField id="12" name="Tag 2" tableColumnId="12"/>
      <queryTableField id="13" name="Time Units" tableColumnId="13"/>
      <queryTableField id="14" name="Pending till" tableColumnId="14"/>
      <queryTableField id="15" name="Created At" tableColumnId="15"/>
      <queryTableField id="16" name="Month" tableColumnId="16"/>
      <queryTableField id="17" name="Quarter" tableColumnId="17"/>
      <queryTableField id="18" name="Updated At" tableColumnId="18"/>
      <queryTableField id="19" name="Closed At"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3A4E05E6-639E-4F13-AFF9-BD9852A94EFF}" sourceName="State">
  <pivotTables>
    <pivotTable tabId="8" name="PivotTable5"/>
    <pivotTable tabId="9" name="PivotTable6"/>
  </pivotTables>
  <data>
    <tabular pivotCacheId="44401123" sortOrder="descending">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F34A8C03-EA9C-46CE-8988-D95C68E88C91}" sourceName="Priority">
  <pivotTables>
    <pivotTable tabId="8" name="PivotTable5"/>
    <pivotTable tabId="9" name="PivotTable6"/>
  </pivotTables>
  <data>
    <tabular pivotCacheId="44401123">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1" xr10:uid="{6F048331-010B-4292-A7EA-2A21D8083BAB}" sourceName="Tag 1">
  <pivotTables>
    <pivotTable tabId="8" name="PivotTable5"/>
    <pivotTable tabId="9" name="PivotTable6"/>
  </pivotTables>
  <data>
    <tabular pivotCacheId="44401123">
      <items count="6">
        <i x="3" s="1"/>
        <i x="2" s="1"/>
        <i x="0" s="1"/>
        <i x="1" s="1"/>
        <i x="5"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2" xr10:uid="{8DE19E97-749A-484F-B825-CB714B31E6E9}" sourceName="Tag 2">
  <pivotTables>
    <pivotTable tabId="8" name="PivotTable5"/>
    <pivotTable tabId="9" name="PivotTable6"/>
  </pivotTables>
  <data>
    <tabular pivotCacheId="44401123">
      <items count="21">
        <i x="6" s="1"/>
        <i x="9" s="1"/>
        <i x="2" s="1"/>
        <i x="8" s="1"/>
        <i x="4" s="1"/>
        <i x="5" s="1"/>
        <i x="15" s="1"/>
        <i x="13" s="1"/>
        <i x="1" s="1"/>
        <i x="12" s="1"/>
        <i x="14" s="1"/>
        <i x="0" s="1"/>
        <i x="7" s="1"/>
        <i x="10" s="1"/>
        <i x="11" s="1"/>
        <i x="3" s="1"/>
        <i x="19" s="1" nd="1"/>
        <i x="17" s="1" nd="1"/>
        <i x="20" s="1" nd="1"/>
        <i x="18" s="1" nd="1"/>
        <i x="16"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FFD2251-7985-4967-B68B-88FB7583477D}" sourceName="Month">
  <pivotTables>
    <pivotTable tabId="8" name="PivotTable5"/>
    <pivotTable tabId="9" name="PivotTable6"/>
  </pivotTables>
  <data>
    <tabular pivotCacheId="44401123">
      <items count="13">
        <i x="0" s="1"/>
        <i x="11" s="1"/>
        <i x="7" s="1"/>
        <i x="5" s="1"/>
        <i x="4" s="1"/>
        <i x="6" s="1"/>
        <i x="2" s="1"/>
        <i x="8" s="1"/>
        <i x="1" s="1"/>
        <i x="3" s="1"/>
        <i x="9" s="1"/>
        <i x="10"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C0515CC4-AD3B-4A4A-855F-3754DD7D5A04}" sourceName="Quarter">
  <pivotTables>
    <pivotTable tabId="8" name="PivotTable5"/>
    <pivotTable tabId="9" name="PivotTable6"/>
  </pivotTables>
  <data>
    <tabular pivotCacheId="44401123">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8951CC71-C900-40FA-975D-9BBF63EA2232}" sourceName="Customer">
  <pivotTables>
    <pivotTable tabId="8" name="PivotTable5"/>
    <pivotTable tabId="9" name="PivotTable6"/>
  </pivotTables>
  <data>
    <tabular pivotCacheId="44401123">
      <items count="5">
        <i x="0" s="1"/>
        <i x="1" s="1"/>
        <i x="3" s="1"/>
        <i x="2" s="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45962B8E-75E9-46CB-846C-290726863920}" cache="Slicer_State" caption="State" style="SlicerStyleOther2" rowHeight="234950"/>
  <slicer name="Priority" xr10:uid="{A5124E20-840F-4E4C-ACE9-DA8579FEA643}" cache="Slicer_Priority" caption="Priority" style="SlicerStyleOther2" rowHeight="234950"/>
  <slicer name="Tag 1" xr10:uid="{3A6D60EC-FF16-48C4-B468-FB1C6AC8628B}" cache="Slicer_Tag_1" caption="Platform" style="SlicerStyleOther2" rowHeight="234950"/>
  <slicer name="Tag 2" xr10:uid="{D9D301B6-17E6-452B-9EE0-BE777D1D7E3D}" cache="Slicer_Tag_2" caption="Issue" columnCount="2" style="SlicerStyleOther2" rowHeight="234950"/>
  <slicer name="Month" xr10:uid="{6B14415A-D9D5-461A-B90C-48AC8F59F95E}" cache="Slicer_Month" caption="Month" columnCount="3" style="SlicerStyleOther2" rowHeight="234950"/>
  <slicer name="Quarter" xr10:uid="{36CDA92B-DE74-45C9-94A7-948D9582838C}" cache="Slicer_Quarter" caption="Quarter" style="SlicerStyleOther2" rowHeight="234950"/>
  <slicer name="Customer" xr10:uid="{D9740299-9FE6-40D3-B358-D61CA457ED9A}" cache="Slicer_Customer" caption="Created By" style="SlicerStyleOther2"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8643A9-A1F2-4CDB-A1B4-B395392A8F4F}" name="ReportData" displayName="ReportData" ref="A1:S2" tableType="queryTable" insertRow="1">
  <autoFilter ref="A1:S2" xr:uid="{B18643A9-A1F2-4CDB-A1B4-B395392A8F4F}">
    <filterColumn colId="11">
      <customFilters>
        <customFilter operator="notEqual" val=" "/>
      </customFilters>
    </filterColumn>
  </autoFilter>
  <tableColumns count="19">
    <tableColumn id="1" xr3:uid="{1360C139-E21B-48C3-B915-8B97B6B0DC83}" uniqueName="1" name="#" totalsRowLabel="Total" queryTableFieldId="1" dataDxfId="16" totalsRowDxfId="15"/>
    <tableColumn id="2" xr3:uid="{DB19EC31-AE86-4F27-9F15-1E340A523F85}" uniqueName="2" name="Title" queryTableFieldId="2"/>
    <tableColumn id="3" xr3:uid="{82411ECE-3136-4961-BE3D-B09E11594088}" uniqueName="3" name="State" queryTableFieldId="3" dataDxfId="14"/>
    <tableColumn id="4" xr3:uid="{F580DABF-DA65-4661-9944-253A2A2CB4E7}" uniqueName="4" name="Priority" queryTableFieldId="4" dataDxfId="13"/>
    <tableColumn id="5" xr3:uid="{CC55A0EB-C76D-4604-8603-E22FDEF5AF4D}" uniqueName="5" name="Group" queryTableFieldId="5" dataDxfId="12"/>
    <tableColumn id="6" xr3:uid="{2C4EB79E-A198-4EDB-B2AB-6B1E94E541EE}" uniqueName="6" name="Owner" queryTableFieldId="6" dataDxfId="11"/>
    <tableColumn id="7" xr3:uid="{970A3B85-AF01-434A-8374-8CCB763A3CAD}" uniqueName="7" name="Customer" queryTableFieldId="7" dataDxfId="10"/>
    <tableColumn id="8" xr3:uid="{939CD79E-AF01-4C8B-9A8B-37B2C3510D0F}" uniqueName="8" name="Organization" queryTableFieldId="8" dataDxfId="9"/>
    <tableColumn id="9" xr3:uid="{B0DB51D9-AF4B-441E-B5AD-D544E0B0CE99}" uniqueName="9" name="Create Channel" queryTableFieldId="9" dataDxfId="8"/>
    <tableColumn id="10" xr3:uid="{04D93905-A7A1-43A2-A541-355B6CDE11FA}" uniqueName="10" name="Sender" queryTableFieldId="10" dataDxfId="7"/>
    <tableColumn id="11" xr3:uid="{4D2FB0A0-E696-4F99-963D-90DFDA371340}" uniqueName="11" name="Tag 1" queryTableFieldId="11" dataDxfId="6"/>
    <tableColumn id="12" xr3:uid="{8DA96A49-BFF1-4701-A37E-D53BDEF12339}" uniqueName="12" name="Tag 2" queryTableFieldId="12" dataDxfId="5"/>
    <tableColumn id="13" xr3:uid="{4200F42B-9E39-49B3-9129-73268A646846}" uniqueName="13" name="Time Units" queryTableFieldId="13"/>
    <tableColumn id="14" xr3:uid="{408AE8A2-C563-45E2-A69C-7DBB8B704F7B}" uniqueName="14" name="Pending till" queryTableFieldId="14"/>
    <tableColumn id="15" xr3:uid="{8621F3FC-91D8-4E21-BCB1-910F581B41D2}" uniqueName="15" name="Created At" queryTableFieldId="15" dataDxfId="4"/>
    <tableColumn id="16" xr3:uid="{96C6A23F-2B06-425E-AABA-394C815A78A8}" uniqueName="16" name="Month" queryTableFieldId="16" dataDxfId="3"/>
    <tableColumn id="17" xr3:uid="{00BD7407-3077-4320-8EA3-5CF19CE5BBED}" uniqueName="17" name="Quarter" queryTableFieldId="17" dataDxfId="2"/>
    <tableColumn id="18" xr3:uid="{54A118E2-D811-4E5D-88A9-DA5536517AA2}" uniqueName="18" name="Updated At" queryTableFieldId="18" dataDxfId="1"/>
    <tableColumn id="19" xr3:uid="{D38D5FEB-E91B-439A-9C2B-4C932D8E0BAC}" uniqueName="19" name="Closed At" totalsRowFunction="count" queryTableFieldId="19"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8794-E85E-4F25-A2EB-37E0D2D49932}">
  <sheetPr codeName="Sheet3"/>
  <dimension ref="A1:AD54"/>
  <sheetViews>
    <sheetView tabSelected="1" workbookViewId="0">
      <selection sqref="A1:AD54"/>
    </sheetView>
  </sheetViews>
  <sheetFormatPr defaultRowHeight="14.4" x14ac:dyDescent="0.3"/>
  <sheetData>
    <row r="1" spans="1:30"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row>
    <row r="2" spans="1:30" x14ac:dyDescent="0.3">
      <c r="A2" s="5"/>
      <c r="B2" s="5"/>
      <c r="C2" s="5"/>
      <c r="D2" s="5"/>
      <c r="E2" s="5"/>
      <c r="F2" s="5"/>
      <c r="G2" s="5"/>
      <c r="H2" s="5"/>
      <c r="I2" s="5"/>
      <c r="J2" s="5"/>
      <c r="K2" s="5"/>
      <c r="L2" s="5"/>
      <c r="M2" s="5"/>
      <c r="N2" s="5"/>
      <c r="O2" s="5"/>
      <c r="P2" s="5"/>
      <c r="Q2" s="5"/>
      <c r="R2" s="5"/>
      <c r="S2" s="5"/>
      <c r="T2" s="5"/>
      <c r="U2" s="5"/>
      <c r="V2" s="5"/>
      <c r="W2" s="5"/>
      <c r="X2" s="5"/>
      <c r="Y2" s="5"/>
      <c r="Z2" s="5"/>
      <c r="AA2" s="5"/>
      <c r="AB2" s="5"/>
      <c r="AC2" s="5"/>
      <c r="AD2" s="5"/>
    </row>
    <row r="3" spans="1:30" x14ac:dyDescent="0.3">
      <c r="A3" s="5"/>
      <c r="B3" s="5"/>
      <c r="C3" s="5"/>
      <c r="D3" s="5"/>
      <c r="E3" s="5"/>
      <c r="F3" s="5"/>
      <c r="G3" s="5"/>
      <c r="H3" s="5"/>
      <c r="I3" s="5"/>
      <c r="J3" s="5"/>
      <c r="K3" s="5"/>
      <c r="L3" s="5"/>
      <c r="M3" s="5"/>
      <c r="N3" s="5"/>
      <c r="O3" s="5"/>
      <c r="P3" s="5"/>
      <c r="Q3" s="5"/>
      <c r="R3" s="5"/>
      <c r="S3" s="5"/>
      <c r="T3" s="5"/>
      <c r="U3" s="5"/>
      <c r="V3" s="5"/>
      <c r="W3" s="5"/>
      <c r="X3" s="5"/>
      <c r="Y3" s="5"/>
      <c r="Z3" s="5"/>
      <c r="AA3" s="5"/>
      <c r="AB3" s="5"/>
      <c r="AC3" s="5"/>
      <c r="AD3" s="5"/>
    </row>
    <row r="4" spans="1:30" x14ac:dyDescent="0.3">
      <c r="A4" s="5"/>
      <c r="B4" s="5"/>
      <c r="C4" s="5"/>
      <c r="D4" s="5"/>
      <c r="E4" s="5"/>
      <c r="F4" s="5"/>
      <c r="G4" s="5"/>
      <c r="H4" s="5"/>
      <c r="I4" s="5"/>
      <c r="J4" s="5"/>
      <c r="K4" s="5"/>
      <c r="L4" s="5"/>
      <c r="M4" s="5"/>
      <c r="N4" s="5"/>
      <c r="O4" s="5"/>
      <c r="P4" s="5"/>
      <c r="Q4" s="5"/>
      <c r="R4" s="5"/>
      <c r="S4" s="5"/>
      <c r="T4" s="5"/>
      <c r="U4" s="5"/>
      <c r="V4" s="5"/>
      <c r="W4" s="5"/>
      <c r="X4" s="5"/>
      <c r="Y4" s="5"/>
      <c r="Z4" s="5"/>
      <c r="AA4" s="5"/>
      <c r="AB4" s="5"/>
      <c r="AC4" s="5"/>
      <c r="AD4" s="5"/>
    </row>
    <row r="5" spans="1:30" x14ac:dyDescent="0.3">
      <c r="A5" s="5"/>
      <c r="B5" s="5"/>
      <c r="C5" s="5"/>
      <c r="D5" s="5"/>
      <c r="E5" s="5"/>
      <c r="F5" s="5"/>
      <c r="G5" s="5"/>
      <c r="H5" s="5"/>
      <c r="I5" s="5"/>
      <c r="J5" s="5"/>
      <c r="K5" s="5"/>
      <c r="L5" s="5"/>
      <c r="M5" s="5"/>
      <c r="N5" s="5"/>
      <c r="O5" s="5"/>
      <c r="P5" s="5"/>
      <c r="Q5" s="5"/>
      <c r="R5" s="5"/>
      <c r="S5" s="5"/>
      <c r="T5" s="5"/>
      <c r="U5" s="5"/>
      <c r="V5" s="5"/>
      <c r="W5" s="5"/>
      <c r="X5" s="5"/>
      <c r="Y5" s="5"/>
      <c r="Z5" s="5"/>
      <c r="AA5" s="5"/>
      <c r="AB5" s="5"/>
      <c r="AC5" s="5"/>
      <c r="AD5" s="5"/>
    </row>
    <row r="6" spans="1:30"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row>
    <row r="7" spans="1:30"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row>
    <row r="8" spans="1:30" x14ac:dyDescent="0.3">
      <c r="A8" s="5"/>
      <c r="B8" s="5"/>
      <c r="C8" s="5"/>
      <c r="D8" s="5"/>
      <c r="E8" s="5"/>
      <c r="F8" s="5"/>
      <c r="G8" s="5"/>
      <c r="H8" s="5"/>
      <c r="I8" s="5"/>
      <c r="J8" s="5"/>
      <c r="K8" s="5"/>
      <c r="L8" s="5"/>
      <c r="M8" s="5"/>
      <c r="N8" s="5"/>
      <c r="O8" s="5"/>
      <c r="P8" s="5"/>
      <c r="Q8" s="5"/>
      <c r="R8" s="5"/>
      <c r="S8" s="5"/>
      <c r="T8" s="5"/>
      <c r="U8" s="5"/>
      <c r="V8" s="5"/>
      <c r="W8" s="5"/>
      <c r="X8" s="5"/>
      <c r="Y8" s="5"/>
      <c r="Z8" s="5"/>
      <c r="AA8" s="5"/>
      <c r="AB8" s="5"/>
      <c r="AC8" s="5"/>
      <c r="AD8" s="5"/>
    </row>
    <row r="9" spans="1:30" x14ac:dyDescent="0.3">
      <c r="A9" s="5"/>
      <c r="B9" s="5"/>
      <c r="C9" s="5"/>
      <c r="D9" s="5"/>
      <c r="E9" s="5"/>
      <c r="F9" s="5"/>
      <c r="G9" s="5"/>
      <c r="H9" s="5"/>
      <c r="I9" s="5"/>
      <c r="J9" s="5"/>
      <c r="K9" s="5"/>
      <c r="L9" s="5"/>
      <c r="M9" s="5"/>
      <c r="N9" s="5"/>
      <c r="O9" s="5"/>
      <c r="P9" s="5"/>
      <c r="Q9" s="5"/>
      <c r="R9" s="5"/>
      <c r="S9" s="5"/>
      <c r="T9" s="5"/>
      <c r="U9" s="5"/>
      <c r="V9" s="5"/>
      <c r="W9" s="5"/>
      <c r="X9" s="5"/>
      <c r="Y9" s="5"/>
      <c r="Z9" s="5"/>
      <c r="AA9" s="5"/>
      <c r="AB9" s="5"/>
      <c r="AC9" s="5"/>
      <c r="AD9" s="5"/>
    </row>
    <row r="10" spans="1:30"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row>
    <row r="11" spans="1:30" x14ac:dyDescent="0.3">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row>
    <row r="12" spans="1:30" x14ac:dyDescent="0.3">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row>
    <row r="13" spans="1:30" x14ac:dyDescent="0.3">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row>
    <row r="14" spans="1:30" x14ac:dyDescent="0.3">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row>
    <row r="15" spans="1:30" x14ac:dyDescent="0.3">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row>
    <row r="16" spans="1:30" x14ac:dyDescent="0.3">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row>
    <row r="17" spans="1:30" x14ac:dyDescent="0.3">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row>
    <row r="18" spans="1:30" x14ac:dyDescent="0.3">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row>
    <row r="19" spans="1:30" x14ac:dyDescent="0.3">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row>
    <row r="20" spans="1:30" x14ac:dyDescent="0.3">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row>
    <row r="21" spans="1:30" x14ac:dyDescent="0.3">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row>
    <row r="22" spans="1:30" x14ac:dyDescent="0.3">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row>
    <row r="23" spans="1:30"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3">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3">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3">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3">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3">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3">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3">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3">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3">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3">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3">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row r="37" spans="1:30" x14ac:dyDescent="0.3">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row>
    <row r="38" spans="1:30" x14ac:dyDescent="0.3">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row>
    <row r="39" spans="1:30" x14ac:dyDescent="0.3">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row>
    <row r="40" spans="1:30" x14ac:dyDescent="0.3">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row>
    <row r="41" spans="1:30" x14ac:dyDescent="0.3">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row>
    <row r="42" spans="1:30" x14ac:dyDescent="0.3">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row>
    <row r="43" spans="1:30" x14ac:dyDescent="0.3">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row>
    <row r="44" spans="1:30" x14ac:dyDescent="0.3">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row>
    <row r="45" spans="1:30" x14ac:dyDescent="0.3">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row>
    <row r="46" spans="1:30" x14ac:dyDescent="0.3">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row>
    <row r="47" spans="1:30" x14ac:dyDescent="0.3">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row>
    <row r="48" spans="1:30" x14ac:dyDescent="0.3">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row>
    <row r="49" spans="1:30" x14ac:dyDescent="0.3">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row>
    <row r="50" spans="1:30" x14ac:dyDescent="0.3">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row>
    <row r="51" spans="1:30" x14ac:dyDescent="0.3">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row>
    <row r="52" spans="1:30" x14ac:dyDescent="0.3">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row>
    <row r="53" spans="1:30" x14ac:dyDescent="0.3">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row>
    <row r="54" spans="1:30" x14ac:dyDescent="0.3">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row>
  </sheetData>
  <sheetProtection algorithmName="SHA-512" hashValue="2PER6osQmrMtd+EwAFD0DdpVSwZHiWahznJEy6MAMdVjQqcgPrMmD/k7ns3IqQkHPHhdwkOUx2MSOHgsBHRxWg==" saltValue="NPwTFu+TUeKEU3HDnl0//w==" spinCount="100000" sheet="1" objects="1" scenarios="1"/>
  <mergeCells count="1">
    <mergeCell ref="A1:AD54"/>
  </mergeCells>
  <pageMargins left="0.7" right="0.7" top="0.75" bottom="0.75" header="0.3" footer="0.3"/>
  <pageSetup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election sqref="A1:P1001"/>
    </sheetView>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54"/>
  <sheetViews>
    <sheetView showGridLines="0" workbookViewId="0">
      <selection sqref="A1:AD54"/>
    </sheetView>
  </sheetViews>
  <sheetFormatPr defaultRowHeight="14.4" x14ac:dyDescent="0.3"/>
  <sheetData>
    <row r="1" spans="1:30"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row>
    <row r="2" spans="1:30" x14ac:dyDescent="0.3">
      <c r="A2" s="5"/>
      <c r="B2" s="5"/>
      <c r="C2" s="5"/>
      <c r="D2" s="5"/>
      <c r="E2" s="5"/>
      <c r="F2" s="5"/>
      <c r="G2" s="5"/>
      <c r="H2" s="5"/>
      <c r="I2" s="5"/>
      <c r="J2" s="5"/>
      <c r="K2" s="5"/>
      <c r="L2" s="5"/>
      <c r="M2" s="5"/>
      <c r="N2" s="5"/>
      <c r="O2" s="5"/>
      <c r="P2" s="5"/>
      <c r="Q2" s="5"/>
      <c r="R2" s="5"/>
      <c r="S2" s="5"/>
      <c r="T2" s="5"/>
      <c r="U2" s="5"/>
      <c r="V2" s="5"/>
      <c r="W2" s="5"/>
      <c r="X2" s="5"/>
      <c r="Y2" s="5"/>
      <c r="Z2" s="5"/>
      <c r="AA2" s="5"/>
      <c r="AB2" s="5"/>
      <c r="AC2" s="5"/>
      <c r="AD2" s="5"/>
    </row>
    <row r="3" spans="1:30" x14ac:dyDescent="0.3">
      <c r="A3" s="5"/>
      <c r="B3" s="5"/>
      <c r="C3" s="5"/>
      <c r="D3" s="5"/>
      <c r="E3" s="5"/>
      <c r="F3" s="5"/>
      <c r="G3" s="5"/>
      <c r="H3" s="5"/>
      <c r="I3" s="5"/>
      <c r="J3" s="5"/>
      <c r="K3" s="5"/>
      <c r="L3" s="5"/>
      <c r="M3" s="5"/>
      <c r="N3" s="5"/>
      <c r="O3" s="5"/>
      <c r="P3" s="5"/>
      <c r="Q3" s="5"/>
      <c r="R3" s="5"/>
      <c r="S3" s="5"/>
      <c r="T3" s="5"/>
      <c r="U3" s="5"/>
      <c r="V3" s="5"/>
      <c r="W3" s="5"/>
      <c r="X3" s="5"/>
      <c r="Y3" s="5"/>
      <c r="Z3" s="5"/>
      <c r="AA3" s="5"/>
      <c r="AB3" s="5"/>
      <c r="AC3" s="5"/>
      <c r="AD3" s="5"/>
    </row>
    <row r="4" spans="1:30" x14ac:dyDescent="0.3">
      <c r="A4" s="5"/>
      <c r="B4" s="5"/>
      <c r="C4" s="5"/>
      <c r="D4" s="5"/>
      <c r="E4" s="5"/>
      <c r="F4" s="5"/>
      <c r="G4" s="5"/>
      <c r="H4" s="5"/>
      <c r="I4" s="5"/>
      <c r="J4" s="5"/>
      <c r="K4" s="5"/>
      <c r="L4" s="5"/>
      <c r="M4" s="5"/>
      <c r="N4" s="5"/>
      <c r="O4" s="5"/>
      <c r="P4" s="5"/>
      <c r="Q4" s="5"/>
      <c r="R4" s="5"/>
      <c r="S4" s="5"/>
      <c r="T4" s="5"/>
      <c r="U4" s="5"/>
      <c r="V4" s="5"/>
      <c r="W4" s="5"/>
      <c r="X4" s="5"/>
      <c r="Y4" s="5"/>
      <c r="Z4" s="5"/>
      <c r="AA4" s="5"/>
      <c r="AB4" s="5"/>
      <c r="AC4" s="5"/>
      <c r="AD4" s="5"/>
    </row>
    <row r="5" spans="1:30" x14ac:dyDescent="0.3">
      <c r="A5" s="5"/>
      <c r="B5" s="5"/>
      <c r="C5" s="5"/>
      <c r="D5" s="5"/>
      <c r="E5" s="5"/>
      <c r="F5" s="5"/>
      <c r="G5" s="5"/>
      <c r="H5" s="5"/>
      <c r="I5" s="5"/>
      <c r="J5" s="5"/>
      <c r="K5" s="5"/>
      <c r="L5" s="5"/>
      <c r="M5" s="5"/>
      <c r="N5" s="5"/>
      <c r="O5" s="5"/>
      <c r="P5" s="5"/>
      <c r="Q5" s="5"/>
      <c r="R5" s="5"/>
      <c r="S5" s="5"/>
      <c r="T5" s="5"/>
      <c r="U5" s="5"/>
      <c r="V5" s="5"/>
      <c r="W5" s="5"/>
      <c r="X5" s="5"/>
      <c r="Y5" s="5"/>
      <c r="Z5" s="5"/>
      <c r="AA5" s="5"/>
      <c r="AB5" s="5"/>
      <c r="AC5" s="5"/>
      <c r="AD5" s="5"/>
    </row>
    <row r="6" spans="1:30"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row>
    <row r="7" spans="1:30"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row>
    <row r="8" spans="1:30" x14ac:dyDescent="0.3">
      <c r="A8" s="5"/>
      <c r="B8" s="5"/>
      <c r="C8" s="5"/>
      <c r="D8" s="5"/>
      <c r="E8" s="5"/>
      <c r="F8" s="5"/>
      <c r="G8" s="5"/>
      <c r="H8" s="5"/>
      <c r="I8" s="5"/>
      <c r="J8" s="5"/>
      <c r="K8" s="5"/>
      <c r="L8" s="5"/>
      <c r="M8" s="5"/>
      <c r="N8" s="5"/>
      <c r="O8" s="5"/>
      <c r="P8" s="5"/>
      <c r="Q8" s="5"/>
      <c r="R8" s="5"/>
      <c r="S8" s="5"/>
      <c r="T8" s="5"/>
      <c r="U8" s="5"/>
      <c r="V8" s="5"/>
      <c r="W8" s="5"/>
      <c r="X8" s="5"/>
      <c r="Y8" s="5"/>
      <c r="Z8" s="5"/>
      <c r="AA8" s="5"/>
      <c r="AB8" s="5"/>
      <c r="AC8" s="5"/>
      <c r="AD8" s="5"/>
    </row>
    <row r="9" spans="1:30" x14ac:dyDescent="0.3">
      <c r="A9" s="5"/>
      <c r="B9" s="5"/>
      <c r="C9" s="5"/>
      <c r="D9" s="5"/>
      <c r="E9" s="5"/>
      <c r="F9" s="5"/>
      <c r="G9" s="5"/>
      <c r="H9" s="5"/>
      <c r="I9" s="5"/>
      <c r="J9" s="5"/>
      <c r="K9" s="5"/>
      <c r="L9" s="5"/>
      <c r="M9" s="5"/>
      <c r="N9" s="5"/>
      <c r="O9" s="5"/>
      <c r="P9" s="5"/>
      <c r="Q9" s="5"/>
      <c r="R9" s="5"/>
      <c r="S9" s="5"/>
      <c r="T9" s="5"/>
      <c r="U9" s="5"/>
      <c r="V9" s="5"/>
      <c r="W9" s="5"/>
      <c r="X9" s="5"/>
      <c r="Y9" s="5"/>
      <c r="Z9" s="5"/>
      <c r="AA9" s="5"/>
      <c r="AB9" s="5"/>
      <c r="AC9" s="5"/>
      <c r="AD9" s="5"/>
    </row>
    <row r="10" spans="1:30"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row>
    <row r="11" spans="1:30" x14ac:dyDescent="0.3">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row>
    <row r="12" spans="1:30" x14ac:dyDescent="0.3">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row>
    <row r="13" spans="1:30" x14ac:dyDescent="0.3">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row>
    <row r="14" spans="1:30" x14ac:dyDescent="0.3">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row>
    <row r="15" spans="1:30" x14ac:dyDescent="0.3">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row>
    <row r="16" spans="1:30" x14ac:dyDescent="0.3">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row>
    <row r="17" spans="1:30" x14ac:dyDescent="0.3">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row>
    <row r="18" spans="1:30" x14ac:dyDescent="0.3">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row>
    <row r="19" spans="1:30" x14ac:dyDescent="0.3">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row>
    <row r="20" spans="1:30" x14ac:dyDescent="0.3">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row>
    <row r="21" spans="1:30" x14ac:dyDescent="0.3">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row>
    <row r="22" spans="1:30" x14ac:dyDescent="0.3">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row>
    <row r="23" spans="1:30"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3">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3">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3">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3">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3">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3">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3">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3">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3">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3">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3">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row r="37" spans="1:30" x14ac:dyDescent="0.3">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row>
    <row r="38" spans="1:30" x14ac:dyDescent="0.3">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row>
    <row r="39" spans="1:30" x14ac:dyDescent="0.3">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row>
    <row r="40" spans="1:30" x14ac:dyDescent="0.3">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row>
    <row r="41" spans="1:30" x14ac:dyDescent="0.3">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row>
    <row r="42" spans="1:30" x14ac:dyDescent="0.3">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row>
    <row r="43" spans="1:30" x14ac:dyDescent="0.3">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row>
    <row r="44" spans="1:30" x14ac:dyDescent="0.3">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row>
    <row r="45" spans="1:30" x14ac:dyDescent="0.3">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row>
    <row r="46" spans="1:30" x14ac:dyDescent="0.3">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row>
    <row r="47" spans="1:30" x14ac:dyDescent="0.3">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row>
    <row r="48" spans="1:30" x14ac:dyDescent="0.3">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row>
    <row r="49" spans="1:30" x14ac:dyDescent="0.3">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row>
    <row r="50" spans="1:30" x14ac:dyDescent="0.3">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row>
    <row r="51" spans="1:30" x14ac:dyDescent="0.3">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row>
    <row r="52" spans="1:30" x14ac:dyDescent="0.3">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row>
    <row r="53" spans="1:30" x14ac:dyDescent="0.3">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row>
    <row r="54" spans="1:30" x14ac:dyDescent="0.3">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row>
  </sheetData>
  <sheetProtection algorithmName="SHA-512" hashValue="V2u3H0GJdpjQZIfUQ7PiEUZxYKm7udUz3IdiaoqZk0UDIvJ+T/TdXBW7eXcfKKQJlFQgNduyvY9TGtQVFL9y1A==" saltValue="vJInZ2xzRj8DqAEMeUADQg==" spinCount="100000" sheet="1" objects="1" scenarios="1"/>
  <mergeCells count="1">
    <mergeCell ref="A1:AD5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BC39F-3691-4474-95F6-D82BB57DBF89}">
  <sheetPr codeName="Sheet7"/>
  <dimension ref="A1:S2"/>
  <sheetViews>
    <sheetView workbookViewId="0">
      <selection activeCell="A2" sqref="A2"/>
    </sheetView>
  </sheetViews>
  <sheetFormatPr defaultRowHeight="14.4" x14ac:dyDescent="0.3"/>
  <cols>
    <col min="1" max="1" width="10.5546875" style="4" bestFit="1" customWidth="1"/>
    <col min="2" max="2" width="6.77734375" bestFit="1" customWidth="1"/>
    <col min="3" max="3" width="7.5546875" bestFit="1" customWidth="1"/>
    <col min="4" max="4" width="9.33203125" bestFit="1" customWidth="1"/>
    <col min="5" max="5" width="12.33203125" bestFit="1" customWidth="1"/>
    <col min="6" max="6" width="8.77734375" bestFit="1" customWidth="1"/>
    <col min="7" max="7" width="11.33203125" bestFit="1" customWidth="1"/>
    <col min="8" max="8" width="14.33203125" bestFit="1" customWidth="1"/>
    <col min="9" max="9" width="16.109375" bestFit="1" customWidth="1"/>
    <col min="10" max="10" width="9.109375" bestFit="1" customWidth="1"/>
    <col min="11" max="11" width="7.6640625" bestFit="1" customWidth="1"/>
    <col min="12" max="12" width="17.5546875" bestFit="1" customWidth="1"/>
    <col min="13" max="13" width="12.109375" bestFit="1" customWidth="1"/>
    <col min="14" max="14" width="12.5546875" bestFit="1" customWidth="1"/>
    <col min="15" max="15" width="14.6640625" bestFit="1" customWidth="1"/>
    <col min="16" max="16" width="9.77734375" bestFit="1" customWidth="1"/>
    <col min="17" max="17" width="9.6640625" bestFit="1" customWidth="1"/>
    <col min="18" max="19" width="14.6640625" bestFit="1" customWidth="1"/>
  </cols>
  <sheetData>
    <row r="1" spans="1:19" x14ac:dyDescent="0.3">
      <c r="A1" t="s">
        <v>0</v>
      </c>
      <c r="B1" t="s">
        <v>1</v>
      </c>
      <c r="C1" t="s">
        <v>2</v>
      </c>
      <c r="D1" t="s">
        <v>3</v>
      </c>
      <c r="E1" t="s">
        <v>4</v>
      </c>
      <c r="F1" t="s">
        <v>5</v>
      </c>
      <c r="G1" t="s">
        <v>6</v>
      </c>
      <c r="H1" t="s">
        <v>7</v>
      </c>
      <c r="I1" t="s">
        <v>8</v>
      </c>
      <c r="J1" t="s">
        <v>9</v>
      </c>
      <c r="K1" t="s">
        <v>15</v>
      </c>
      <c r="L1" t="s">
        <v>16</v>
      </c>
      <c r="M1" t="s">
        <v>10</v>
      </c>
      <c r="N1" t="s">
        <v>11</v>
      </c>
      <c r="O1" t="s">
        <v>12</v>
      </c>
      <c r="P1" t="s">
        <v>17</v>
      </c>
      <c r="Q1" t="s">
        <v>18</v>
      </c>
      <c r="R1" t="s">
        <v>13</v>
      </c>
      <c r="S1" t="s">
        <v>14</v>
      </c>
    </row>
    <row r="2" spans="1:19" x14ac:dyDescent="0.3">
      <c r="A2"/>
      <c r="O2" s="1"/>
      <c r="P2" s="1"/>
      <c r="Q2" s="1"/>
      <c r="R2" s="1"/>
      <c r="S2" s="1"/>
    </row>
  </sheetData>
  <phoneticPr fontId="1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9DABE-8AFE-4DC9-A186-7E803B61898D}">
  <sheetPr codeName="Sheet8"/>
  <dimension ref="A1:B28"/>
  <sheetViews>
    <sheetView workbookViewId="0"/>
  </sheetViews>
  <sheetFormatPr defaultRowHeight="14.4" x14ac:dyDescent="0.3"/>
  <cols>
    <col min="1" max="1" width="33" bestFit="1" customWidth="1"/>
    <col min="2" max="2" width="9.77734375" bestFit="1" customWidth="1"/>
  </cols>
  <sheetData>
    <row r="1" spans="1:2" x14ac:dyDescent="0.3">
      <c r="A1" s="2" t="s">
        <v>19</v>
      </c>
      <c r="B1" t="s">
        <v>21</v>
      </c>
    </row>
    <row r="2" spans="1:2" x14ac:dyDescent="0.3">
      <c r="A2" s="3" t="s">
        <v>48</v>
      </c>
      <c r="B2" s="6">
        <v>85</v>
      </c>
    </row>
    <row r="3" spans="1:2" x14ac:dyDescent="0.3">
      <c r="A3" s="3" t="s">
        <v>39</v>
      </c>
      <c r="B3" s="6">
        <v>76</v>
      </c>
    </row>
    <row r="4" spans="1:2" x14ac:dyDescent="0.3">
      <c r="A4" s="3" t="s">
        <v>44</v>
      </c>
      <c r="B4" s="6">
        <v>71</v>
      </c>
    </row>
    <row r="5" spans="1:2" x14ac:dyDescent="0.3">
      <c r="A5" s="3" t="s">
        <v>41</v>
      </c>
      <c r="B5" s="6">
        <v>69</v>
      </c>
    </row>
    <row r="6" spans="1:2" x14ac:dyDescent="0.3">
      <c r="A6" s="3" t="s">
        <v>49</v>
      </c>
      <c r="B6" s="6">
        <v>68</v>
      </c>
    </row>
    <row r="7" spans="1:2" x14ac:dyDescent="0.3">
      <c r="A7" s="3" t="s">
        <v>36</v>
      </c>
      <c r="B7" s="6">
        <v>66</v>
      </c>
    </row>
    <row r="8" spans="1:2" x14ac:dyDescent="0.3">
      <c r="A8" s="3" t="s">
        <v>47</v>
      </c>
      <c r="B8" s="6">
        <v>63</v>
      </c>
    </row>
    <row r="9" spans="1:2" x14ac:dyDescent="0.3">
      <c r="A9" s="3" t="s">
        <v>45</v>
      </c>
      <c r="B9" s="6">
        <v>62</v>
      </c>
    </row>
    <row r="10" spans="1:2" x14ac:dyDescent="0.3">
      <c r="A10" s="3" t="s">
        <v>43</v>
      </c>
      <c r="B10" s="6">
        <v>61</v>
      </c>
    </row>
    <row r="11" spans="1:2" x14ac:dyDescent="0.3">
      <c r="A11" s="3" t="s">
        <v>42</v>
      </c>
      <c r="B11" s="6">
        <v>57</v>
      </c>
    </row>
    <row r="12" spans="1:2" x14ac:dyDescent="0.3">
      <c r="A12" s="3" t="s">
        <v>37</v>
      </c>
      <c r="B12" s="6">
        <v>56</v>
      </c>
    </row>
    <row r="13" spans="1:2" x14ac:dyDescent="0.3">
      <c r="A13" s="3" t="s">
        <v>46</v>
      </c>
      <c r="B13" s="6">
        <v>55</v>
      </c>
    </row>
    <row r="14" spans="1:2" x14ac:dyDescent="0.3">
      <c r="A14" s="3" t="s">
        <v>50</v>
      </c>
      <c r="B14" s="6">
        <v>54</v>
      </c>
    </row>
    <row r="15" spans="1:2" x14ac:dyDescent="0.3">
      <c r="A15" s="3" t="s">
        <v>38</v>
      </c>
      <c r="B15" s="6">
        <v>54</v>
      </c>
    </row>
    <row r="16" spans="1:2" x14ac:dyDescent="0.3">
      <c r="A16" s="3" t="s">
        <v>35</v>
      </c>
      <c r="B16" s="6">
        <v>52</v>
      </c>
    </row>
    <row r="17" spans="1:2" x14ac:dyDescent="0.3">
      <c r="A17" s="3" t="s">
        <v>40</v>
      </c>
      <c r="B17" s="6">
        <v>51</v>
      </c>
    </row>
    <row r="18" spans="1:2" x14ac:dyDescent="0.3">
      <c r="A18" s="3" t="s">
        <v>20</v>
      </c>
      <c r="B18" s="6">
        <v>1000</v>
      </c>
    </row>
    <row r="26" spans="1:2" x14ac:dyDescent="0.3">
      <c r="A26" t="str">
        <f>"Total Android tickets: " &amp; COUNTIF(Platform, "Android")</f>
        <v>Total Android tickets: 0</v>
      </c>
    </row>
    <row r="27" spans="1:2" x14ac:dyDescent="0.3">
      <c r="A27" t="str">
        <f>"Total iOS tickets: " &amp; COUNTIF(Platform, "iOS")</f>
        <v>Total iOS tickets: 0</v>
      </c>
    </row>
    <row r="28" spans="1:2" x14ac:dyDescent="0.3">
      <c r="A28" t="str">
        <f>"Total Client Portal tickets: " &amp; COUNTIF(Platform, "Web")</f>
        <v>Total Client Portal tickets: 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6E8FA-197E-4F2C-9ABD-85C0C935FB01}">
  <sheetPr codeName="Sheet9"/>
  <dimension ref="A3:R17"/>
  <sheetViews>
    <sheetView workbookViewId="0">
      <selection activeCell="F17" sqref="F17"/>
    </sheetView>
  </sheetViews>
  <sheetFormatPr defaultRowHeight="14.4" x14ac:dyDescent="0.3"/>
  <cols>
    <col min="1" max="1" width="12.5546875" bestFit="1" customWidth="1"/>
    <col min="2" max="2" width="34.109375" bestFit="1" customWidth="1"/>
    <col min="3" max="3" width="31.21875" bestFit="1" customWidth="1"/>
    <col min="4" max="4" width="20.77734375" bestFit="1" customWidth="1"/>
    <col min="5" max="5" width="18" bestFit="1" customWidth="1"/>
    <col min="6" max="6" width="14.77734375" bestFit="1" customWidth="1"/>
    <col min="7" max="7" width="21.109375" bestFit="1" customWidth="1"/>
    <col min="8" max="8" width="16.44140625" bestFit="1" customWidth="1"/>
    <col min="9" max="9" width="30.6640625" bestFit="1" customWidth="1"/>
    <col min="10" max="10" width="26.88671875" bestFit="1" customWidth="1"/>
    <col min="11" max="11" width="12.6640625" bestFit="1" customWidth="1"/>
    <col min="12" max="12" width="17.44140625" bestFit="1" customWidth="1"/>
    <col min="13" max="13" width="31.6640625" bestFit="1" customWidth="1"/>
    <col min="14" max="14" width="19.44140625" bestFit="1" customWidth="1"/>
    <col min="15" max="15" width="11.5546875" bestFit="1" customWidth="1"/>
    <col min="16" max="16" width="12.44140625" bestFit="1" customWidth="1"/>
    <col min="17" max="17" width="13.88671875" bestFit="1" customWidth="1"/>
    <col min="18" max="18" width="10.77734375" bestFit="1" customWidth="1"/>
    <col min="19" max="193" width="8" bestFit="1" customWidth="1"/>
    <col min="194" max="194" width="13.88671875" bestFit="1" customWidth="1"/>
    <col min="195" max="195" width="12.44140625" bestFit="1" customWidth="1"/>
    <col min="196" max="397" width="8" bestFit="1" customWidth="1"/>
    <col min="398" max="398" width="15.21875" bestFit="1" customWidth="1"/>
    <col min="399" max="399" width="11.88671875" bestFit="1" customWidth="1"/>
    <col min="400" max="587" width="8" bestFit="1" customWidth="1"/>
    <col min="588" max="588" width="14.6640625" bestFit="1" customWidth="1"/>
    <col min="589" max="589" width="11.21875" bestFit="1" customWidth="1"/>
    <col min="590" max="825" width="8" bestFit="1" customWidth="1"/>
    <col min="826" max="826" width="14" bestFit="1" customWidth="1"/>
    <col min="827" max="827" width="20.33203125" bestFit="1" customWidth="1"/>
    <col min="828" max="1005" width="8" bestFit="1" customWidth="1"/>
    <col min="1006" max="1006" width="23.109375" bestFit="1" customWidth="1"/>
    <col min="1007" max="2006" width="13.6640625" bestFit="1" customWidth="1"/>
    <col min="2007" max="2007" width="10.77734375" bestFit="1" customWidth="1"/>
  </cols>
  <sheetData>
    <row r="3" spans="1:18" x14ac:dyDescent="0.3">
      <c r="A3" s="2" t="s">
        <v>21</v>
      </c>
      <c r="B3" s="2" t="s">
        <v>34</v>
      </c>
    </row>
    <row r="4" spans="1:18" x14ac:dyDescent="0.3">
      <c r="A4" s="2" t="s">
        <v>19</v>
      </c>
      <c r="B4" t="s">
        <v>40</v>
      </c>
      <c r="C4" t="s">
        <v>35</v>
      </c>
      <c r="D4" t="s">
        <v>50</v>
      </c>
      <c r="E4" t="s">
        <v>38</v>
      </c>
      <c r="F4" t="s">
        <v>46</v>
      </c>
      <c r="G4" t="s">
        <v>37</v>
      </c>
      <c r="H4" t="s">
        <v>42</v>
      </c>
      <c r="I4" t="s">
        <v>43</v>
      </c>
      <c r="J4" t="s">
        <v>45</v>
      </c>
      <c r="K4" t="s">
        <v>47</v>
      </c>
      <c r="L4" t="s">
        <v>36</v>
      </c>
      <c r="M4" t="s">
        <v>49</v>
      </c>
      <c r="N4" t="s">
        <v>41</v>
      </c>
      <c r="O4" t="s">
        <v>44</v>
      </c>
      <c r="P4" t="s">
        <v>39</v>
      </c>
      <c r="Q4" t="s">
        <v>48</v>
      </c>
      <c r="R4" t="s">
        <v>20</v>
      </c>
    </row>
    <row r="5" spans="1:18" x14ac:dyDescent="0.3">
      <c r="A5" s="3" t="s">
        <v>23</v>
      </c>
      <c r="B5" s="6">
        <v>9</v>
      </c>
      <c r="C5" s="6">
        <v>7</v>
      </c>
      <c r="D5" s="6">
        <v>4</v>
      </c>
      <c r="E5" s="6">
        <v>6</v>
      </c>
      <c r="F5" s="6">
        <v>6</v>
      </c>
      <c r="G5" s="6">
        <v>7</v>
      </c>
      <c r="H5" s="6">
        <v>5</v>
      </c>
      <c r="I5" s="6">
        <v>7</v>
      </c>
      <c r="J5" s="6">
        <v>10</v>
      </c>
      <c r="K5" s="6">
        <v>7</v>
      </c>
      <c r="L5" s="6">
        <v>8</v>
      </c>
      <c r="M5" s="6">
        <v>6</v>
      </c>
      <c r="N5" s="6">
        <v>4</v>
      </c>
      <c r="O5" s="6">
        <v>8</v>
      </c>
      <c r="P5" s="6">
        <v>9</v>
      </c>
      <c r="Q5" s="6">
        <v>8</v>
      </c>
      <c r="R5" s="6">
        <v>111</v>
      </c>
    </row>
    <row r="6" spans="1:18" x14ac:dyDescent="0.3">
      <c r="A6" s="3" t="s">
        <v>22</v>
      </c>
      <c r="B6" s="6">
        <v>2</v>
      </c>
      <c r="C6" s="6">
        <v>3</v>
      </c>
      <c r="D6" s="6">
        <v>4</v>
      </c>
      <c r="E6" s="6">
        <v>2</v>
      </c>
      <c r="F6" s="6">
        <v>6</v>
      </c>
      <c r="G6" s="6">
        <v>6</v>
      </c>
      <c r="H6" s="6">
        <v>3</v>
      </c>
      <c r="I6" s="6">
        <v>3</v>
      </c>
      <c r="J6" s="6">
        <v>3</v>
      </c>
      <c r="K6" s="6">
        <v>5</v>
      </c>
      <c r="L6" s="6">
        <v>7</v>
      </c>
      <c r="M6" s="6">
        <v>4</v>
      </c>
      <c r="N6" s="6">
        <v>9</v>
      </c>
      <c r="O6" s="6">
        <v>5</v>
      </c>
      <c r="P6" s="6">
        <v>5</v>
      </c>
      <c r="Q6" s="6">
        <v>5</v>
      </c>
      <c r="R6" s="6">
        <v>72</v>
      </c>
    </row>
    <row r="7" spans="1:18" x14ac:dyDescent="0.3">
      <c r="A7" s="3" t="s">
        <v>33</v>
      </c>
      <c r="B7" s="6">
        <v>3</v>
      </c>
      <c r="C7" s="6">
        <v>4</v>
      </c>
      <c r="D7" s="6">
        <v>6</v>
      </c>
      <c r="E7" s="6">
        <v>9</v>
      </c>
      <c r="F7" s="6">
        <v>4</v>
      </c>
      <c r="G7" s="6">
        <v>9</v>
      </c>
      <c r="H7" s="6">
        <v>5</v>
      </c>
      <c r="I7" s="6">
        <v>6</v>
      </c>
      <c r="J7" s="6">
        <v>4</v>
      </c>
      <c r="K7" s="6">
        <v>2</v>
      </c>
      <c r="L7" s="6">
        <v>3</v>
      </c>
      <c r="M7" s="6">
        <v>7</v>
      </c>
      <c r="N7" s="6">
        <v>3</v>
      </c>
      <c r="O7" s="6">
        <v>4</v>
      </c>
      <c r="P7" s="6">
        <v>7</v>
      </c>
      <c r="Q7" s="6">
        <v>7</v>
      </c>
      <c r="R7" s="6">
        <v>83</v>
      </c>
    </row>
    <row r="8" spans="1:18" x14ac:dyDescent="0.3">
      <c r="A8" s="3" t="s">
        <v>28</v>
      </c>
      <c r="B8" s="6">
        <v>5</v>
      </c>
      <c r="C8" s="6">
        <v>6</v>
      </c>
      <c r="D8" s="6">
        <v>6</v>
      </c>
      <c r="E8" s="6">
        <v>4</v>
      </c>
      <c r="F8" s="6">
        <v>5</v>
      </c>
      <c r="G8" s="6">
        <v>5</v>
      </c>
      <c r="H8" s="6">
        <v>8</v>
      </c>
      <c r="I8" s="6">
        <v>4</v>
      </c>
      <c r="J8" s="6">
        <v>9</v>
      </c>
      <c r="K8" s="6">
        <v>4</v>
      </c>
      <c r="L8" s="6">
        <v>7</v>
      </c>
      <c r="M8" s="6">
        <v>4</v>
      </c>
      <c r="N8" s="6">
        <v>4</v>
      </c>
      <c r="O8" s="6">
        <v>10</v>
      </c>
      <c r="P8" s="6">
        <v>4</v>
      </c>
      <c r="Q8" s="6">
        <v>7</v>
      </c>
      <c r="R8" s="6">
        <v>92</v>
      </c>
    </row>
    <row r="9" spans="1:18" x14ac:dyDescent="0.3">
      <c r="A9" s="3" t="s">
        <v>24</v>
      </c>
      <c r="B9" s="6">
        <v>5</v>
      </c>
      <c r="C9" s="6"/>
      <c r="D9" s="6">
        <v>4</v>
      </c>
      <c r="E9" s="6">
        <v>4</v>
      </c>
      <c r="F9" s="6">
        <v>5</v>
      </c>
      <c r="G9" s="6">
        <v>5</v>
      </c>
      <c r="H9" s="6">
        <v>5</v>
      </c>
      <c r="I9" s="6">
        <v>4</v>
      </c>
      <c r="J9" s="6">
        <v>3</v>
      </c>
      <c r="K9" s="6">
        <v>6</v>
      </c>
      <c r="L9" s="6">
        <v>7</v>
      </c>
      <c r="M9" s="6">
        <v>4</v>
      </c>
      <c r="N9" s="6">
        <v>10</v>
      </c>
      <c r="O9" s="6">
        <v>3</v>
      </c>
      <c r="P9" s="6">
        <v>5</v>
      </c>
      <c r="Q9" s="6">
        <v>8</v>
      </c>
      <c r="R9" s="6">
        <v>78</v>
      </c>
    </row>
    <row r="10" spans="1:18" x14ac:dyDescent="0.3">
      <c r="A10" s="3" t="s">
        <v>27</v>
      </c>
      <c r="B10" s="6">
        <v>6</v>
      </c>
      <c r="C10" s="6">
        <v>2</v>
      </c>
      <c r="D10" s="6">
        <v>1</v>
      </c>
      <c r="E10" s="6">
        <v>2</v>
      </c>
      <c r="F10" s="6">
        <v>2</v>
      </c>
      <c r="G10" s="6">
        <v>2</v>
      </c>
      <c r="H10" s="6">
        <v>5</v>
      </c>
      <c r="I10" s="6">
        <v>4</v>
      </c>
      <c r="J10" s="6">
        <v>7</v>
      </c>
      <c r="K10" s="6">
        <v>6</v>
      </c>
      <c r="L10" s="6">
        <v>5</v>
      </c>
      <c r="M10" s="6">
        <v>8</v>
      </c>
      <c r="N10" s="6">
        <v>7</v>
      </c>
      <c r="O10" s="6">
        <v>8</v>
      </c>
      <c r="P10" s="6">
        <v>6</v>
      </c>
      <c r="Q10" s="6">
        <v>3</v>
      </c>
      <c r="R10" s="6">
        <v>74</v>
      </c>
    </row>
    <row r="11" spans="1:18" x14ac:dyDescent="0.3">
      <c r="A11" s="3" t="s">
        <v>25</v>
      </c>
      <c r="B11" s="6">
        <v>6</v>
      </c>
      <c r="C11" s="6">
        <v>7</v>
      </c>
      <c r="D11" s="6">
        <v>4</v>
      </c>
      <c r="E11" s="6">
        <v>8</v>
      </c>
      <c r="F11" s="6">
        <v>4</v>
      </c>
      <c r="G11" s="6">
        <v>7</v>
      </c>
      <c r="H11" s="6">
        <v>3</v>
      </c>
      <c r="I11" s="6">
        <v>5</v>
      </c>
      <c r="J11" s="6">
        <v>3</v>
      </c>
      <c r="K11" s="6">
        <v>7</v>
      </c>
      <c r="L11" s="6">
        <v>7</v>
      </c>
      <c r="M11" s="6">
        <v>3</v>
      </c>
      <c r="N11" s="6">
        <v>8</v>
      </c>
      <c r="O11" s="6">
        <v>5</v>
      </c>
      <c r="P11" s="6">
        <v>9</v>
      </c>
      <c r="Q11" s="6">
        <v>5</v>
      </c>
      <c r="R11" s="6">
        <v>91</v>
      </c>
    </row>
    <row r="12" spans="1:18" x14ac:dyDescent="0.3">
      <c r="A12" s="3" t="s">
        <v>31</v>
      </c>
      <c r="B12" s="6">
        <v>1</v>
      </c>
      <c r="C12" s="6">
        <v>4</v>
      </c>
      <c r="D12" s="6">
        <v>5</v>
      </c>
      <c r="E12" s="6">
        <v>4</v>
      </c>
      <c r="F12" s="6">
        <v>7</v>
      </c>
      <c r="G12" s="6">
        <v>5</v>
      </c>
      <c r="H12" s="6">
        <v>5</v>
      </c>
      <c r="I12" s="6">
        <v>4</v>
      </c>
      <c r="J12" s="6">
        <v>5</v>
      </c>
      <c r="K12" s="6">
        <v>6</v>
      </c>
      <c r="L12" s="6">
        <v>4</v>
      </c>
      <c r="M12" s="6">
        <v>5</v>
      </c>
      <c r="N12" s="6">
        <v>3</v>
      </c>
      <c r="O12" s="6">
        <v>8</v>
      </c>
      <c r="P12" s="6">
        <v>10</v>
      </c>
      <c r="Q12" s="6">
        <v>4</v>
      </c>
      <c r="R12" s="6">
        <v>80</v>
      </c>
    </row>
    <row r="13" spans="1:18" x14ac:dyDescent="0.3">
      <c r="A13" s="3" t="s">
        <v>29</v>
      </c>
      <c r="B13" s="6">
        <v>4</v>
      </c>
      <c r="C13" s="6">
        <v>6</v>
      </c>
      <c r="D13" s="6">
        <v>6</v>
      </c>
      <c r="E13" s="6">
        <v>6</v>
      </c>
      <c r="F13" s="6">
        <v>4</v>
      </c>
      <c r="G13" s="6">
        <v>4</v>
      </c>
      <c r="H13" s="6">
        <v>4</v>
      </c>
      <c r="I13" s="6">
        <v>5</v>
      </c>
      <c r="J13" s="6">
        <v>3</v>
      </c>
      <c r="K13" s="6">
        <v>1</v>
      </c>
      <c r="L13" s="6">
        <v>4</v>
      </c>
      <c r="M13" s="6">
        <v>7</v>
      </c>
      <c r="N13" s="6">
        <v>2</v>
      </c>
      <c r="O13" s="6">
        <v>4</v>
      </c>
      <c r="P13" s="6">
        <v>4</v>
      </c>
      <c r="Q13" s="6">
        <v>12</v>
      </c>
      <c r="R13" s="6">
        <v>76</v>
      </c>
    </row>
    <row r="14" spans="1:18" x14ac:dyDescent="0.3">
      <c r="A14" s="3" t="s">
        <v>32</v>
      </c>
      <c r="B14" s="6">
        <v>4</v>
      </c>
      <c r="C14" s="6">
        <v>5</v>
      </c>
      <c r="D14" s="6">
        <v>4</v>
      </c>
      <c r="E14" s="6">
        <v>2</v>
      </c>
      <c r="F14" s="6">
        <v>4</v>
      </c>
      <c r="G14" s="6">
        <v>1</v>
      </c>
      <c r="H14" s="6">
        <v>3</v>
      </c>
      <c r="I14" s="6">
        <v>6</v>
      </c>
      <c r="J14" s="6">
        <v>3</v>
      </c>
      <c r="K14" s="6">
        <v>5</v>
      </c>
      <c r="L14" s="6">
        <v>5</v>
      </c>
      <c r="M14" s="6">
        <v>13</v>
      </c>
      <c r="N14" s="6">
        <v>8</v>
      </c>
      <c r="O14" s="6">
        <v>9</v>
      </c>
      <c r="P14" s="6">
        <v>7</v>
      </c>
      <c r="Q14" s="6">
        <v>10</v>
      </c>
      <c r="R14" s="6">
        <v>89</v>
      </c>
    </row>
    <row r="15" spans="1:18" x14ac:dyDescent="0.3">
      <c r="A15" s="3" t="s">
        <v>26</v>
      </c>
      <c r="B15" s="6">
        <v>3</v>
      </c>
      <c r="C15" s="6">
        <v>3</v>
      </c>
      <c r="D15" s="6">
        <v>5</v>
      </c>
      <c r="E15" s="6">
        <v>3</v>
      </c>
      <c r="F15" s="6">
        <v>1</v>
      </c>
      <c r="G15" s="6">
        <v>2</v>
      </c>
      <c r="H15" s="6">
        <v>7</v>
      </c>
      <c r="I15" s="6">
        <v>5</v>
      </c>
      <c r="J15" s="6">
        <v>9</v>
      </c>
      <c r="K15" s="6">
        <v>9</v>
      </c>
      <c r="L15" s="6">
        <v>3</v>
      </c>
      <c r="M15" s="6">
        <v>4</v>
      </c>
      <c r="N15" s="6">
        <v>7</v>
      </c>
      <c r="O15" s="6">
        <v>5</v>
      </c>
      <c r="P15" s="6">
        <v>5</v>
      </c>
      <c r="Q15" s="6">
        <v>7</v>
      </c>
      <c r="R15" s="6">
        <v>78</v>
      </c>
    </row>
    <row r="16" spans="1:18" x14ac:dyDescent="0.3">
      <c r="A16" s="3" t="s">
        <v>30</v>
      </c>
      <c r="B16" s="6">
        <v>3</v>
      </c>
      <c r="C16" s="6">
        <v>5</v>
      </c>
      <c r="D16" s="6">
        <v>5</v>
      </c>
      <c r="E16" s="6">
        <v>4</v>
      </c>
      <c r="F16" s="6">
        <v>7</v>
      </c>
      <c r="G16" s="6">
        <v>3</v>
      </c>
      <c r="H16" s="6">
        <v>4</v>
      </c>
      <c r="I16" s="6">
        <v>8</v>
      </c>
      <c r="J16" s="6">
        <v>3</v>
      </c>
      <c r="K16" s="6">
        <v>5</v>
      </c>
      <c r="L16" s="6">
        <v>6</v>
      </c>
      <c r="M16" s="6">
        <v>3</v>
      </c>
      <c r="N16" s="6">
        <v>4</v>
      </c>
      <c r="O16" s="6">
        <v>2</v>
      </c>
      <c r="P16" s="6">
        <v>5</v>
      </c>
      <c r="Q16" s="6">
        <v>9</v>
      </c>
      <c r="R16" s="6">
        <v>76</v>
      </c>
    </row>
    <row r="17" spans="1:18" x14ac:dyDescent="0.3">
      <c r="A17" s="3" t="s">
        <v>20</v>
      </c>
      <c r="B17" s="6">
        <v>51</v>
      </c>
      <c r="C17" s="6">
        <v>52</v>
      </c>
      <c r="D17" s="6">
        <v>54</v>
      </c>
      <c r="E17" s="6">
        <v>54</v>
      </c>
      <c r="F17" s="6">
        <v>55</v>
      </c>
      <c r="G17" s="6">
        <v>56</v>
      </c>
      <c r="H17" s="6">
        <v>57</v>
      </c>
      <c r="I17" s="6">
        <v>61</v>
      </c>
      <c r="J17" s="6">
        <v>62</v>
      </c>
      <c r="K17" s="6">
        <v>63</v>
      </c>
      <c r="L17" s="6">
        <v>66</v>
      </c>
      <c r="M17" s="6">
        <v>68</v>
      </c>
      <c r="N17" s="6">
        <v>69</v>
      </c>
      <c r="O17" s="6">
        <v>71</v>
      </c>
      <c r="P17" s="6">
        <v>76</v>
      </c>
      <c r="Q17" s="6">
        <v>85</v>
      </c>
      <c r="R17" s="6">
        <v>1000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5B7C176-4BCC-4C77-A446-9C009834C41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Start Here</vt:lpstr>
      <vt:lpstr>Report Data</vt:lpstr>
      <vt:lpstr>Beautiful Charts</vt:lpstr>
      <vt:lpstr>ReportAsTable</vt:lpstr>
      <vt:lpstr>Doughnut Graph</vt:lpstr>
      <vt:lpstr>Stacked Bar Chart</vt:lpstr>
      <vt:lpstr>Platform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Smudge</dc:creator>
  <cp:lastModifiedBy>Eric Blanchard</cp:lastModifiedBy>
  <dcterms:created xsi:type="dcterms:W3CDTF">2024-01-08T20:16:44Z</dcterms:created>
  <dcterms:modified xsi:type="dcterms:W3CDTF">2024-02-09T03:51:38Z</dcterms:modified>
</cp:coreProperties>
</file>